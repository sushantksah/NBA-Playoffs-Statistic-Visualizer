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9f0aa9e881b4494a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sha\Documents\CP212 Labs &amp; Assns\sahx0628_a05\"/>
    </mc:Choice>
  </mc:AlternateContent>
  <xr:revisionPtr revIDLastSave="0" documentId="13_ncr:1_{5AF55C04-B254-49CB-AC94-1C1B84767A16}" xr6:coauthVersionLast="47" xr6:coauthVersionMax="47" xr10:uidLastSave="{00000000-0000-0000-0000-000000000000}"/>
  <bookViews>
    <workbookView xWindow="-120" yWindow="-120" windowWidth="29040" windowHeight="15720" xr2:uid="{C220BDF9-3263-46B6-8392-C555C2BC7F7D}"/>
  </bookViews>
  <sheets>
    <sheet name="Introduction" sheetId="1" r:id="rId1"/>
    <sheet name="Instructions" sheetId="16" r:id="rId2"/>
    <sheet name="Filter Summary" sheetId="20" r:id="rId3"/>
    <sheet name="Histogram Data" sheetId="7" r:id="rId4"/>
  </sheets>
  <definedNames>
    <definedName name="_xleta.COUNTIFS" hidden="1" xlm="1">#NAME?</definedName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7" i="20" l="1"/>
  <c r="AA217" i="20"/>
  <c r="Z217" i="20"/>
  <c r="Y217" i="20"/>
  <c r="X217" i="20"/>
  <c r="W217" i="20"/>
  <c r="V217" i="20"/>
  <c r="U217" i="20"/>
  <c r="T217" i="20"/>
  <c r="S217" i="20"/>
  <c r="R217" i="20"/>
  <c r="Q217" i="20"/>
  <c r="P217" i="20"/>
  <c r="O217" i="20"/>
  <c r="N217" i="20"/>
  <c r="M217" i="20"/>
  <c r="L217" i="20"/>
  <c r="K217" i="20"/>
  <c r="J217" i="20"/>
  <c r="I217" i="20"/>
  <c r="H217" i="20"/>
  <c r="G217" i="20"/>
  <c r="F217" i="20"/>
  <c r="E217" i="20"/>
  <c r="C217" i="20"/>
  <c r="N44" i="7"/>
  <c r="N45" i="7"/>
  <c r="C27" i="7"/>
  <c r="N23" i="7"/>
  <c r="N39" i="7"/>
  <c r="N42" i="7"/>
  <c r="N43" i="7"/>
  <c r="N24" i="7"/>
  <c r="N60" i="7"/>
  <c r="C30" i="7"/>
  <c r="C59" i="7"/>
  <c r="N27" i="7"/>
  <c r="C39" i="7"/>
  <c r="C28" i="7"/>
  <c r="C41" i="7"/>
  <c r="N59" i="7"/>
  <c r="C29" i="7"/>
  <c r="N57" i="7"/>
  <c r="C25" i="7"/>
  <c r="N58" i="7"/>
  <c r="N56" i="7"/>
  <c r="C24" i="7"/>
  <c r="C58" i="7"/>
  <c r="N26" i="7"/>
  <c r="C42" i="7"/>
  <c r="N40" i="7"/>
  <c r="C40" i="7"/>
  <c r="N41" i="7"/>
  <c r="C26" i="7"/>
  <c r="C56" i="7"/>
  <c r="N25" i="7"/>
  <c r="C23" i="7"/>
  <c r="C57" i="7"/>
  <c r="C31" i="7"/>
  <c r="C60" i="7"/>
  <c r="N22" i="7"/>
  <c r="C22" i="7"/>
</calcChain>
</file>

<file path=xl/sharedStrings.xml><?xml version="1.0" encoding="utf-8"?>
<sst xmlns="http://schemas.openxmlformats.org/spreadsheetml/2006/main" count="747" uniqueCount="325">
  <si>
    <t>Player</t>
  </si>
  <si>
    <t>Pos</t>
  </si>
  <si>
    <t>Age</t>
  </si>
  <si>
    <t>Tm</t>
  </si>
  <si>
    <t>G</t>
  </si>
  <si>
    <t>GS</t>
  </si>
  <si>
    <t>MP</t>
  </si>
  <si>
    <t>ORB</t>
  </si>
  <si>
    <t>DRB</t>
  </si>
  <si>
    <t>TRB</t>
  </si>
  <si>
    <t>AST</t>
  </si>
  <si>
    <t>STL</t>
  </si>
  <si>
    <t>TOV</t>
  </si>
  <si>
    <t>PF</t>
  </si>
  <si>
    <t>PTS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</si>
  <si>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</si>
  <si>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</si>
  <si>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</si>
  <si>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</si>
  <si>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</si>
  <si>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</si>
  <si>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</si>
  <si>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</si>
  <si>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</si>
  <si>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</si>
  <si>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</si>
  <si>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</si>
  <si>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</si>
  <si>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Jarrett Allen</t>
  </si>
  <si>
    <t>C</t>
  </si>
  <si>
    <t>CLE</t>
  </si>
  <si>
    <t>Darius Garland</t>
  </si>
  <si>
    <t>PG</t>
  </si>
  <si>
    <t>Damian Jones</t>
  </si>
  <si>
    <t>Caris LeVert</t>
  </si>
  <si>
    <t>SG</t>
  </si>
  <si>
    <t>Sam Merrill</t>
  </si>
  <si>
    <t>Donovan Mitchell</t>
  </si>
  <si>
    <t>Evan Mobley</t>
  </si>
  <si>
    <t>Marcus Morris</t>
  </si>
  <si>
    <t>Georges Niang</t>
  </si>
  <si>
    <t>Isaac Okoro</t>
  </si>
  <si>
    <t>SF</t>
  </si>
  <si>
    <t>Max Strus</t>
  </si>
  <si>
    <t>Tristan Thompson</t>
  </si>
  <si>
    <t>Dean Wade</t>
  </si>
  <si>
    <t>Anthony Davis</t>
  </si>
  <si>
    <t>LAL</t>
  </si>
  <si>
    <t>Spencer Dinwiddie</t>
  </si>
  <si>
    <t>Rui Hachimura</t>
  </si>
  <si>
    <t>Jaxson Hayes</t>
  </si>
  <si>
    <t>LeBron James</t>
  </si>
  <si>
    <t>Taurean Prince</t>
  </si>
  <si>
    <t>Austin Reaves</t>
  </si>
  <si>
    <t>D'Angelo Russell</t>
  </si>
  <si>
    <t>Gabe Vincent</t>
  </si>
  <si>
    <t>Nickeil Alexander-Walker</t>
  </si>
  <si>
    <t>MIN</t>
  </si>
  <si>
    <t>Grayson Allen</t>
  </si>
  <si>
    <t>PHO</t>
  </si>
  <si>
    <t>Bradley Beal</t>
  </si>
  <si>
    <t>Malik Beasley</t>
  </si>
  <si>
    <t>MIL</t>
  </si>
  <si>
    <t>Christian Braun</t>
  </si>
  <si>
    <t>DEN</t>
  </si>
  <si>
    <t>Kendall Brown</t>
  </si>
  <si>
    <t>IND</t>
  </si>
  <si>
    <t>Alec Burks</t>
  </si>
  <si>
    <t>MYK</t>
  </si>
  <si>
    <t>Kentavious Caldwell-Pope</t>
  </si>
  <si>
    <t>Donte DiVincenzo</t>
  </si>
  <si>
    <t>NYK</t>
  </si>
  <si>
    <t>Anthony Edwards</t>
  </si>
  <si>
    <t>Josh Giddey</t>
  </si>
  <si>
    <t>OKC</t>
  </si>
  <si>
    <t>Eric Gordon</t>
  </si>
  <si>
    <t>A.J. Green</t>
  </si>
  <si>
    <t>Josh Green</t>
  </si>
  <si>
    <t>DAL</t>
  </si>
  <si>
    <t>Jaden Hardy</t>
  </si>
  <si>
    <t>Gary Harris</t>
  </si>
  <si>
    <t>ORL</t>
  </si>
  <si>
    <t>Jordan Hawkins</t>
  </si>
  <si>
    <t>NOP</t>
  </si>
  <si>
    <t>Tyler Herro</t>
  </si>
  <si>
    <t>MIA</t>
  </si>
  <si>
    <t>Buddy Hield</t>
  </si>
  <si>
    <t>PHI</t>
  </si>
  <si>
    <t>Justin Holiday</t>
  </si>
  <si>
    <t>Kyrie Irving</t>
  </si>
  <si>
    <t>Andre Jackson Jr.</t>
  </si>
  <si>
    <t>DaQuan Jeffries</t>
  </si>
  <si>
    <t>Isaiah Joe</t>
  </si>
  <si>
    <t>A.J. Lawson</t>
  </si>
  <si>
    <t>Terance Mann</t>
  </si>
  <si>
    <t>LAC</t>
  </si>
  <si>
    <t>De'Anthony Melton</t>
  </si>
  <si>
    <t>Shake Milton</t>
  </si>
  <si>
    <t>Wendell Moore Jr.</t>
  </si>
  <si>
    <t>Josh Okogie</t>
  </si>
  <si>
    <t>Jalen Pickett</t>
  </si>
  <si>
    <t>Norman Powell</t>
  </si>
  <si>
    <t>Ben Sheppard</t>
  </si>
  <si>
    <t>Jalen Suggs</t>
  </si>
  <si>
    <t>Cason Wallace</t>
  </si>
  <si>
    <t>Lindy Waters III</t>
  </si>
  <si>
    <t>Derrick White</t>
  </si>
  <si>
    <t>BOS</t>
  </si>
  <si>
    <t>Aaron Wiggins</t>
  </si>
  <si>
    <t xml:space="preserve">Averages: </t>
  </si>
  <si>
    <t>Upper Bound</t>
  </si>
  <si>
    <t xml:space="preserve">Frequency </t>
  </si>
  <si>
    <t>Precious Achiuwa</t>
  </si>
  <si>
    <t>Bam Adebayo</t>
  </si>
  <si>
    <t>Jose Alvarado</t>
  </si>
  <si>
    <t>Kyle Anderson</t>
  </si>
  <si>
    <t>Thanasis Antetokounmpo</t>
  </si>
  <si>
    <t>Cole Anthony</t>
  </si>
  <si>
    <t>OG Anunoby</t>
  </si>
  <si>
    <t>Paolo Banchero</t>
  </si>
  <si>
    <t>Nicolas Batum</t>
  </si>
  <si>
    <t>MarJon Beauchamp</t>
  </si>
  <si>
    <t>Patrick Beverley</t>
  </si>
  <si>
    <t>Goga Bitadze</t>
  </si>
  <si>
    <t>Anthony Black</t>
  </si>
  <si>
    <t>Bojan Bogdanovi?</t>
  </si>
  <si>
    <t>Bol Bol</t>
  </si>
  <si>
    <t>Devin Booker</t>
  </si>
  <si>
    <t>Brandon Boston Jr.</t>
  </si>
  <si>
    <t>Oshae Brissett</t>
  </si>
  <si>
    <t>Jaylen Brown</t>
  </si>
  <si>
    <t>Kobe Brown</t>
  </si>
  <si>
    <t>Jalen Brunson</t>
  </si>
  <si>
    <t>Thomas Bryant</t>
  </si>
  <si>
    <t>Wendell Carter Jr.</t>
  </si>
  <si>
    <t>Amir Coffey</t>
  </si>
  <si>
    <t>Mike Conley</t>
  </si>
  <si>
    <t>Pat Connaughton</t>
  </si>
  <si>
    <t>Jae Crowder</t>
  </si>
  <si>
    <t>Dyson Daniels</t>
  </si>
  <si>
    <t>Mamadi Diakite</t>
  </si>
  <si>
    <t>Ousmane Dieng</t>
  </si>
  <si>
    <t>Luka Doncic</t>
  </si>
  <si>
    <t>Luguentz Dort</t>
  </si>
  <si>
    <t>Kevin Durant</t>
  </si>
  <si>
    <t>Joel Embiid</t>
  </si>
  <si>
    <t>Drew Eubanks</t>
  </si>
  <si>
    <t>Dante Exum</t>
  </si>
  <si>
    <t>Markelle Fultz</t>
  </si>
  <si>
    <t>Daniel Gafford</t>
  </si>
  <si>
    <t>Danilo Gallinari</t>
  </si>
  <si>
    <t>Luka Garza</t>
  </si>
  <si>
    <t>Paul George</t>
  </si>
  <si>
    <t>Shai Gilgeous-Alexander</t>
  </si>
  <si>
    <t>Rudy Gobert</t>
  </si>
  <si>
    <t>Aaron Gordon</t>
  </si>
  <si>
    <t>Tyrese Haliburton</t>
  </si>
  <si>
    <t>Tim Hardaway Jr.</t>
  </si>
  <si>
    <t>James Harden</t>
  </si>
  <si>
    <t>Tobias Harris</t>
  </si>
  <si>
    <t>Josh Hart</t>
  </si>
  <si>
    <t>Isaiah Hartenstein</t>
  </si>
  <si>
    <t>Sam Hauser</t>
  </si>
  <si>
    <t>Gordon Hayward</t>
  </si>
  <si>
    <t>Haywood Highsmith</t>
  </si>
  <si>
    <t>Jrue Holiday</t>
  </si>
  <si>
    <t>Chet Holmgren</t>
  </si>
  <si>
    <t>Al Horford</t>
  </si>
  <si>
    <t>Caleb Houstan</t>
  </si>
  <si>
    <t>Jett Howard</t>
  </si>
  <si>
    <t>Bones Hyland</t>
  </si>
  <si>
    <t>Joe Ingles</t>
  </si>
  <si>
    <t>Brandon Ingram</t>
  </si>
  <si>
    <t>Jonathan Isaac</t>
  </si>
  <si>
    <t>Isaiah Jackson</t>
  </si>
  <si>
    <t>Reggie Jackson</t>
  </si>
  <si>
    <t>Jaime Jaquez Jr.</t>
  </si>
  <si>
    <t>James Johnson</t>
  </si>
  <si>
    <t>Nikola Jokic</t>
  </si>
  <si>
    <t>Derrick Jones Jr.</t>
  </si>
  <si>
    <t>Herbert Jones</t>
  </si>
  <si>
    <t>DeAndre Jordan</t>
  </si>
  <si>
    <t>Nikola Jovic</t>
  </si>
  <si>
    <t>Maxi Kleber</t>
  </si>
  <si>
    <t>Luke Kornet</t>
  </si>
  <si>
    <t>Kawhi Leonard</t>
  </si>
  <si>
    <t>E.J. Liddell</t>
  </si>
  <si>
    <t>Damian Lillard</t>
  </si>
  <si>
    <t>Nassir Little</t>
  </si>
  <si>
    <t>Dereck Lively II</t>
  </si>
  <si>
    <t>Chris Livingston</t>
  </si>
  <si>
    <t>Brook Lopez</t>
  </si>
  <si>
    <t>Kevin Love</t>
  </si>
  <si>
    <t>Kyle Lowry</t>
  </si>
  <si>
    <t>Naji Marshall</t>
  </si>
  <si>
    <t>Caleb Martin</t>
  </si>
  <si>
    <t>Tyrese Maxey</t>
  </si>
  <si>
    <t>Miles McBride</t>
  </si>
  <si>
    <t>CJ McCollum</t>
  </si>
  <si>
    <t>T.J. McConnell</t>
  </si>
  <si>
    <t>Jaden McDaniels</t>
  </si>
  <si>
    <t>Doug McDermott</t>
  </si>
  <si>
    <t>Jordan McLaughlin</t>
  </si>
  <si>
    <t>Khris Middleton</t>
  </si>
  <si>
    <t>Leonard Miller</t>
  </si>
  <si>
    <t>Patty Mills</t>
  </si>
  <si>
    <t>Josh Minott</t>
  </si>
  <si>
    <t>Markieff Morris</t>
  </si>
  <si>
    <t>Monte Morris</t>
  </si>
  <si>
    <t>Trey Murphy III</t>
  </si>
  <si>
    <t>Jamal Murray</t>
  </si>
  <si>
    <t>Svi Mykhailiuk</t>
  </si>
  <si>
    <t>Larry Nance Jr.</t>
  </si>
  <si>
    <t>Andrew Nembhard</t>
  </si>
  <si>
    <t>Aaron Nesmith</t>
  </si>
  <si>
    <t>Zeke Nnaji</t>
  </si>
  <si>
    <t>Jusuf Nurkic</t>
  </si>
  <si>
    <t>Royce O'Neale</t>
  </si>
  <si>
    <t>Chuma Okeke</t>
  </si>
  <si>
    <t>Kelly Oubre Jr.</t>
  </si>
  <si>
    <t>Cameron Payne</t>
  </si>
  <si>
    <t>Mason Plumlee</t>
  </si>
  <si>
    <t>Michael Porter Jr.</t>
  </si>
  <si>
    <t>Bobby Portis</t>
  </si>
  <si>
    <t>Kristaps Porzi??is</t>
  </si>
  <si>
    <t>Dwight Powell</t>
  </si>
  <si>
    <t>Payton Pritchard</t>
  </si>
  <si>
    <t>Olivier-Maxence Prosper</t>
  </si>
  <si>
    <t>Neemias Queta</t>
  </si>
  <si>
    <t>Paul Reed</t>
  </si>
  <si>
    <t>Naz Reid</t>
  </si>
  <si>
    <t>Duncan Robinson</t>
  </si>
  <si>
    <t>Mitchell Robinson</t>
  </si>
  <si>
    <t>Orlando Robinson</t>
  </si>
  <si>
    <t>Jeremiah Robinson-Earl</t>
  </si>
  <si>
    <t>David Roddy</t>
  </si>
  <si>
    <t>Matt Ryan</t>
  </si>
  <si>
    <t>Pascal Siakam</t>
  </si>
  <si>
    <t>Jericho Sims</t>
  </si>
  <si>
    <t>Jalen Smith</t>
  </si>
  <si>
    <t>Jaden Springer</t>
  </si>
  <si>
    <t>Julian Strawther</t>
  </si>
  <si>
    <t>Jayson Tatum</t>
  </si>
  <si>
    <t>Daniel Theis</t>
  </si>
  <si>
    <t>Isaiah Thomas</t>
  </si>
  <si>
    <t>Xavier Tillman Sr.</t>
  </si>
  <si>
    <t>Obi Toppin</t>
  </si>
  <si>
    <t>Karl-Anthony Towns</t>
  </si>
  <si>
    <t>P.J. Tucker</t>
  </si>
  <si>
    <t>Myles Turner</t>
  </si>
  <si>
    <t>Hunter Tyson</t>
  </si>
  <si>
    <t>Jonas Valanciunas</t>
  </si>
  <si>
    <t>Franz Wagner</t>
  </si>
  <si>
    <t>Moritz Wagner</t>
  </si>
  <si>
    <t>Jarace Walker</t>
  </si>
  <si>
    <t>Jordan Walsh</t>
  </si>
  <si>
    <t>T.J. Warren</t>
  </si>
  <si>
    <t>P.J. Washington</t>
  </si>
  <si>
    <t>Peyton Watson</t>
  </si>
  <si>
    <t>Russell Westbrook</t>
  </si>
  <si>
    <t>Jalen Williams</t>
  </si>
  <si>
    <t>Jaylin Williams</t>
  </si>
  <si>
    <t>Kenrich Williams</t>
  </si>
  <si>
    <t>Delon Wright</t>
  </si>
  <si>
    <t>Thaddeus Young</t>
  </si>
  <si>
    <t>Ivica Zubac</t>
  </si>
  <si>
    <t>&lt;=20</t>
  </si>
  <si>
    <t>&lt;=24</t>
  </si>
  <si>
    <t>&lt;=26</t>
  </si>
  <si>
    <t>&lt;=28</t>
  </si>
  <si>
    <t>&lt;=30</t>
  </si>
  <si>
    <t>&lt;=32</t>
  </si>
  <si>
    <t>&lt;=34</t>
  </si>
  <si>
    <t>&lt;=36</t>
  </si>
  <si>
    <t>&lt;=39</t>
  </si>
  <si>
    <t xml:space="preserve"> &lt;=22</t>
  </si>
  <si>
    <t>0-5</t>
  </si>
  <si>
    <t>11-15</t>
  </si>
  <si>
    <t>6-10</t>
  </si>
  <si>
    <t>16-20</t>
  </si>
  <si>
    <t>21-25</t>
  </si>
  <si>
    <t>26-30</t>
  </si>
  <si>
    <t>Games Played</t>
  </si>
  <si>
    <t>Total Rebounds</t>
  </si>
  <si>
    <t>1-2</t>
  </si>
  <si>
    <t>2-3</t>
  </si>
  <si>
    <t>4-5</t>
  </si>
  <si>
    <t>6-7</t>
  </si>
  <si>
    <t>8-9</t>
  </si>
  <si>
    <t>10-11</t>
  </si>
  <si>
    <t>Points Per Game</t>
  </si>
  <si>
    <t>31-35</t>
  </si>
  <si>
    <t>Field Goal Percentage</t>
  </si>
  <si>
    <t>0-0.200</t>
  </si>
  <si>
    <t>0.300-0.400</t>
  </si>
  <si>
    <t>0.500-0.600</t>
  </si>
  <si>
    <t>0.700-0.800</t>
  </si>
  <si>
    <t>0.900-1.00</t>
  </si>
  <si>
    <t>Assists</t>
  </si>
  <si>
    <t>0-2</t>
  </si>
  <si>
    <t>2-4</t>
  </si>
  <si>
    <t>4-6</t>
  </si>
  <si>
    <t>6-8</t>
  </si>
  <si>
    <t>8-10</t>
  </si>
  <si>
    <t>NBA Playoffs Statistics Visualizer - Report/Visualization</t>
  </si>
  <si>
    <t xml:space="preserve">Hello, this is text from excel! </t>
  </si>
  <si>
    <t xml:space="preserve">When thinking about NBA statistics, there are a few in particular that stand out. These include points per game, rebounds per game, assists per game, field goal percentage… and so on. </t>
  </si>
  <si>
    <r>
      <t xml:space="preserve">This is done using the built in excel function </t>
    </r>
    <r>
      <rPr>
        <b/>
        <sz val="11"/>
        <color rgb="FF000000"/>
        <rFont val="Aptos Narrow"/>
        <family val="2"/>
        <scheme val="minor"/>
      </rPr>
      <t xml:space="preserve">"CountIFS" </t>
    </r>
    <r>
      <rPr>
        <sz val="11"/>
        <color rgb="FF000000"/>
        <rFont val="Aptos Narrow"/>
        <family val="2"/>
        <scheme val="minor"/>
      </rPr>
      <t>that counts the number of cells that meet multiple criteria (ex. c1: &gt;10 &amp; c2: &lt;=20).</t>
    </r>
  </si>
  <si>
    <r>
      <t xml:space="preserve">Here, the data is sorted into </t>
    </r>
    <r>
      <rPr>
        <b/>
        <sz val="11"/>
        <color rgb="FF000000"/>
        <rFont val="Aptos Narrow"/>
        <family val="2"/>
        <scheme val="minor"/>
      </rPr>
      <t xml:space="preserve">"bins" </t>
    </r>
    <r>
      <rPr>
        <sz val="11"/>
        <color rgb="FF000000"/>
        <rFont val="Aptos Narrow"/>
        <family val="2"/>
        <scheme val="minor"/>
      </rPr>
      <t xml:space="preserve">that display the frequency of the resulting data in intervals that are specific to the data that is being parsed. </t>
    </r>
  </si>
  <si>
    <t>This application was made to visualize/sort all of the major game data from the 2024 NBA Playoffs dynamically based of factors chosen and filtered by the user (Team, Age, Position etc.).</t>
  </si>
  <si>
    <t xml:space="preserve">To begin, we'll start with the ages of the players that fit the criteria as to better understand if it was a factor in their success or not. </t>
  </si>
  <si>
    <t>Was the team/position being older/younger an indicator of their success?</t>
  </si>
  <si>
    <t xml:space="preserve">Next, we'll look at how many games the players have played throughout the playoffs, is better attendance equivalent to success? </t>
  </si>
  <si>
    <t>Further, let's look at the most popular statistic, points per game!</t>
  </si>
  <si>
    <t>Does having a higher frequency of players who score more indicate anything?</t>
  </si>
  <si>
    <t xml:space="preserve">Moving on to assists, are teams more fortunate having people who 'dish' the ball well? </t>
  </si>
  <si>
    <t>You can't win unless you make baskets! Does shooting efficiancy equate to success?</t>
  </si>
  <si>
    <t xml:space="preserve">Moving on to the fundamentals, rebounding! </t>
  </si>
  <si>
    <t>Are good rebounders indicators of winners?</t>
  </si>
  <si>
    <t>That’s right! This part of the program will also update and change as the data you filter changes!</t>
  </si>
  <si>
    <t>In doing so, this document takes the most well known statistics, splits them into ranges and displays the frequency in a histogram to help better understand/put into perspective the scope of the data you have filtered.</t>
  </si>
  <si>
    <r>
      <t xml:space="preserve">This portion of this program will take the data, hand selected by you, the user, and </t>
    </r>
    <r>
      <rPr>
        <b/>
        <sz val="11"/>
        <color theme="1"/>
        <rFont val="Aptos Narrow"/>
        <family val="2"/>
        <scheme val="minor"/>
      </rPr>
      <t>dynamically</t>
    </r>
    <r>
      <rPr>
        <sz val="11"/>
        <color theme="1"/>
        <rFont val="Aptos Narrow"/>
        <family val="2"/>
        <scheme val="minor"/>
      </rPr>
      <t xml:space="preserve"> help to visualize the results in a word document!</t>
    </r>
  </si>
  <si>
    <t>Thank you for using NBA Playoffs Statistics Visualizer!</t>
  </si>
  <si>
    <r>
      <t xml:space="preserve">Here are the final results of the data! Each chart represents a major statistic and their frequencies.  </t>
    </r>
    <r>
      <rPr>
        <b/>
        <sz val="11"/>
        <color rgb="FF000000"/>
        <rFont val="Aptos Narrow"/>
        <family val="2"/>
        <scheme val="minor"/>
      </rPr>
      <t>For statistic averages, please refer to the sheet named "Filter Summary"</t>
    </r>
  </si>
  <si>
    <t>This data can be used to make inferences such as, does having multiple people leading X stat lead to success or vise versa?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</si>
</sst>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</cellStyleXfs>
  <cellXfs count="12">
    <xf numFmtId="0" fontId="0" fillId="0" borderId="0" xfId="0"/>
    <xf numFmtId="0" fontId="3" fillId="0" borderId="0" xfId="0" applyFont="1"/>
    <xf numFmtId="0" fontId="3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2" borderId="2" xfId="2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Heading 1" xfId="1" builtinId="16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Data'!$B$22:$B$31</c:f>
              <c:strCache>
                <c:ptCount val="10"/>
                <c:pt idx="0">
                  <c:v>&lt;=20</c:v>
                </c:pt>
                <c:pt idx="1">
                  <c:v> &lt;=22</c:v>
                </c:pt>
                <c:pt idx="2">
                  <c:v>&lt;=24</c:v>
                </c:pt>
                <c:pt idx="3">
                  <c:v>&lt;=26</c:v>
                </c:pt>
                <c:pt idx="4">
                  <c:v>&lt;=28</c:v>
                </c:pt>
                <c:pt idx="5">
                  <c:v>&lt;=30</c:v>
                </c:pt>
                <c:pt idx="6">
                  <c:v>&lt;=32</c:v>
                </c:pt>
                <c:pt idx="7">
                  <c:v>&lt;=34</c:v>
                </c:pt>
                <c:pt idx="8">
                  <c:v>&lt;=36</c:v>
                </c:pt>
                <c:pt idx="9">
                  <c:v>&lt;=39</c:v>
                </c:pt>
              </c:strCache>
            </c:strRef>
          </c:cat>
          <c:val>
            <c:numRef>
              <c:f>'Histogram Data'!$C$22:$C$31</c:f>
              <c:numCache>
                <c:formatCode>General</c:formatCode>
                <c:ptCount val="10"/>
                <c:pt idx="0">
                  <c:v>12</c:v>
                </c:pt>
                <c:pt idx="1">
                  <c:v>25</c:v>
                </c:pt>
                <c:pt idx="2">
                  <c:v>36</c:v>
                </c:pt>
                <c:pt idx="3">
                  <c:v>41</c:v>
                </c:pt>
                <c:pt idx="4">
                  <c:v>30</c:v>
                </c:pt>
                <c:pt idx="5">
                  <c:v>19</c:v>
                </c:pt>
                <c:pt idx="6">
                  <c:v>20</c:v>
                </c:pt>
                <c:pt idx="7">
                  <c:v>13</c:v>
                </c:pt>
                <c:pt idx="8">
                  <c:v>14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7-4E12-973C-E1C036199E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Games</a:t>
            </a:r>
            <a:r>
              <a:rPr lang="en-US" baseline="0"/>
              <a:t> Played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Data'!$B$39:$B$42</c:f>
              <c:strCache>
                <c:ptCount val="4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</c:strCache>
            </c:strRef>
          </c:cat>
          <c:val>
            <c:numRef>
              <c:f>'Histogram Data'!$C$39:$C$42</c:f>
              <c:numCache>
                <c:formatCode>General</c:formatCode>
                <c:ptCount val="4"/>
                <c:pt idx="0">
                  <c:v>93</c:v>
                </c:pt>
                <c:pt idx="1">
                  <c:v>66</c:v>
                </c:pt>
                <c:pt idx="2">
                  <c:v>27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9A-4365-9DDC-79ACE7CCCE3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Rebounds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Data'!$M$22:$M$27</c:f>
              <c:strCache>
                <c:ptCount val="6"/>
                <c:pt idx="0">
                  <c:v>1-2</c:v>
                </c:pt>
                <c:pt idx="1">
                  <c:v>2-3</c:v>
                </c:pt>
                <c:pt idx="2">
                  <c:v>4-5</c:v>
                </c:pt>
                <c:pt idx="3">
                  <c:v>6-7</c:v>
                </c:pt>
                <c:pt idx="4">
                  <c:v>8-9</c:v>
                </c:pt>
                <c:pt idx="5">
                  <c:v>10-11</c:v>
                </c:pt>
              </c:strCache>
            </c:strRef>
          </c:cat>
          <c:val>
            <c:numRef>
              <c:f>'Histogram Data'!$N$22:$N$27</c:f>
              <c:numCache>
                <c:formatCode>General</c:formatCode>
                <c:ptCount val="6"/>
                <c:pt idx="0">
                  <c:v>53</c:v>
                </c:pt>
                <c:pt idx="1">
                  <c:v>36</c:v>
                </c:pt>
                <c:pt idx="2">
                  <c:v>22</c:v>
                </c:pt>
                <c:pt idx="3">
                  <c:v>16</c:v>
                </c:pt>
                <c:pt idx="4">
                  <c:v>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10-428D-9FF9-CBEAC08EED7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</a:t>
            </a:r>
            <a:r>
              <a:rPr lang="en-US" baseline="0"/>
              <a:t> Per Game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Data'!$M$39:$M$45</c:f>
              <c:strCache>
                <c:ptCount val="7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</c:strCache>
            </c:strRef>
          </c:cat>
          <c:val>
            <c:numRef>
              <c:f>'Histogram Data'!$N$39:$N$45</c:f>
              <c:numCache>
                <c:formatCode>General</c:formatCode>
                <c:ptCount val="7"/>
                <c:pt idx="0">
                  <c:v>98</c:v>
                </c:pt>
                <c:pt idx="1">
                  <c:v>35</c:v>
                </c:pt>
                <c:pt idx="2">
                  <c:v>24</c:v>
                </c:pt>
                <c:pt idx="3">
                  <c:v>17</c:v>
                </c:pt>
                <c:pt idx="4">
                  <c:v>7</c:v>
                </c:pt>
                <c:pt idx="5">
                  <c:v>10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5-4E43-868F-086CD9A34C5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Field</a:t>
            </a:r>
            <a:r>
              <a:rPr lang="en-US" baseline="0"/>
              <a:t> Goal Percentage (%)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Data'!$B$56:$B$60</c:f>
              <c:strCache>
                <c:ptCount val="5"/>
                <c:pt idx="0">
                  <c:v>0-0.200</c:v>
                </c:pt>
                <c:pt idx="1">
                  <c:v>0.300-0.400</c:v>
                </c:pt>
                <c:pt idx="2">
                  <c:v>0.500-0.600</c:v>
                </c:pt>
                <c:pt idx="3">
                  <c:v>0.700-0.800</c:v>
                </c:pt>
                <c:pt idx="4">
                  <c:v>0.900-1.00</c:v>
                </c:pt>
              </c:strCache>
            </c:strRef>
          </c:cat>
          <c:val>
            <c:numRef>
              <c:f>'Histogram Data'!$C$56:$C$60</c:f>
              <c:numCache>
                <c:formatCode>General</c:formatCode>
                <c:ptCount val="5"/>
                <c:pt idx="0">
                  <c:v>25</c:v>
                </c:pt>
                <c:pt idx="1">
                  <c:v>40</c:v>
                </c:pt>
                <c:pt idx="2">
                  <c:v>35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3-451E-A068-B2F1F11A80B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Assists</a:t>
            </a:r>
            <a:r>
              <a:rPr lang="en-US" baseline="0"/>
              <a:t> Per Game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Data'!$M$56:$M$60</c:f>
              <c:strCache>
                <c:ptCount val="5"/>
                <c:pt idx="0">
                  <c:v>0-2</c:v>
                </c:pt>
                <c:pt idx="1">
                  <c:v>2-4</c:v>
                </c:pt>
                <c:pt idx="2">
                  <c:v>4-6</c:v>
                </c:pt>
                <c:pt idx="3">
                  <c:v>6-8</c:v>
                </c:pt>
                <c:pt idx="4">
                  <c:v>8-10</c:v>
                </c:pt>
              </c:strCache>
            </c:strRef>
          </c:cat>
          <c:val>
            <c:numRef>
              <c:f>'Histogram Data'!$N$56:$N$60</c:f>
              <c:numCache>
                <c:formatCode>General</c:formatCode>
                <c:ptCount val="5"/>
                <c:pt idx="0">
                  <c:v>149</c:v>
                </c:pt>
                <c:pt idx="1">
                  <c:v>32</c:v>
                </c:pt>
                <c:pt idx="2">
                  <c:v>23</c:v>
                </c:pt>
                <c:pt idx="3">
                  <c:v>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2-4637-B848-A3F633E482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16</xdr:col>
      <xdr:colOff>9525</xdr:colOff>
      <xdr:row>10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871B43B-617F-45C8-859A-FC6F16552719}"/>
            </a:ext>
          </a:extLst>
        </xdr:cNvPr>
        <xdr:cNvSpPr txBox="1"/>
      </xdr:nvSpPr>
      <xdr:spPr>
        <a:xfrm>
          <a:off x="4267200" y="190500"/>
          <a:ext cx="549592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500" b="1">
              <a:solidFill>
                <a:schemeClr val="tx1"/>
              </a:solidFill>
            </a:rPr>
            <a:t> Welcome</a:t>
          </a:r>
          <a:r>
            <a:rPr lang="en-CA" sz="1500" b="1" baseline="0">
              <a:solidFill>
                <a:schemeClr val="tx1"/>
              </a:solidFill>
            </a:rPr>
            <a:t> to,</a:t>
          </a:r>
        </a:p>
        <a:p>
          <a:pPr algn="ctr"/>
          <a:r>
            <a:rPr lang="en-CA" sz="1500" b="1" baseline="0">
              <a:solidFill>
                <a:schemeClr val="tx2">
                  <a:lumMod val="50000"/>
                  <a:lumOff val="50000"/>
                </a:schemeClr>
              </a:solidFill>
            </a:rPr>
            <a:t>NBA Playoffs Statistic Visualizer </a:t>
          </a:r>
          <a:r>
            <a:rPr lang="en-CA" sz="1500" b="1" baseline="0">
              <a:solidFill>
                <a:schemeClr val="tx1"/>
              </a:solidFill>
            </a:rPr>
            <a:t>!</a:t>
          </a:r>
        </a:p>
        <a:p>
          <a:pPr algn="ctr"/>
          <a:r>
            <a:rPr lang="en-CA" sz="1100" b="1" baseline="0">
              <a:solidFill>
                <a:schemeClr val="tx1"/>
              </a:solidFill>
            </a:rPr>
            <a:t>By: Sushant Sah</a:t>
          </a:r>
        </a:p>
        <a:p>
          <a:pPr algn="ctr"/>
          <a:r>
            <a:rPr lang="en-CA" sz="900" b="1" baseline="0">
              <a:solidFill>
                <a:schemeClr val="tx1"/>
              </a:solidFill>
            </a:rPr>
            <a:t>Version: 2024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11</xdr:col>
      <xdr:colOff>9526</xdr:colOff>
      <xdr:row>19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F3B56B-0CB1-43ED-AC0F-1EE6B49508D7}"/>
            </a:ext>
          </a:extLst>
        </xdr:cNvPr>
        <xdr:cNvSpPr txBox="1"/>
      </xdr:nvSpPr>
      <xdr:spPr>
        <a:xfrm>
          <a:off x="1828800" y="2095500"/>
          <a:ext cx="4886326" cy="162877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The NBA Playoffs Statistic Visualizer is a one stop application to do three simple things:</a:t>
          </a:r>
        </a:p>
        <a:p>
          <a:pPr algn="ctr"/>
          <a:r>
            <a:rPr lang="en-CA" sz="1100" b="1" baseline="0">
              <a:solidFill>
                <a:schemeClr val="accent2"/>
              </a:solidFill>
            </a:rPr>
            <a:t>1. Filter Player Data </a:t>
          </a:r>
        </a:p>
        <a:p>
          <a:pPr algn="ctr"/>
          <a:r>
            <a:rPr lang="en-CA" sz="1100" b="1" baseline="0">
              <a:solidFill>
                <a:schemeClr val="accent5"/>
              </a:solidFill>
            </a:rPr>
            <a:t>2. Help Visualize the Data</a:t>
          </a:r>
        </a:p>
        <a:p>
          <a:pPr algn="ctr"/>
          <a:r>
            <a:rPr lang="en-CA" sz="1100" b="1" baseline="0">
              <a:solidFill>
                <a:schemeClr val="accent6">
                  <a:lumMod val="75000"/>
                </a:schemeClr>
              </a:solidFill>
            </a:rPr>
            <a:t>3. Generate a Report in Word with the Data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800" b="1" baseline="0">
              <a:solidFill>
                <a:schemeClr val="tx1"/>
              </a:solidFill>
            </a:rPr>
            <a:t>More information in the coming pages!</a:t>
          </a:r>
        </a:p>
      </xdr:txBody>
    </xdr:sp>
    <xdr:clientData/>
  </xdr:twoCellAnchor>
  <xdr:twoCellAnchor>
    <xdr:from>
      <xdr:col>11</xdr:col>
      <xdr:colOff>590550</xdr:colOff>
      <xdr:row>11</xdr:row>
      <xdr:rowOff>0</xdr:rowOff>
    </xdr:from>
    <xdr:to>
      <xdr:col>20</xdr:col>
      <xdr:colOff>28576</xdr:colOff>
      <xdr:row>19</xdr:row>
      <xdr:rowOff>104775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317FBA9-EC53-4C0B-990E-CF2E360D1DEB}"/>
            </a:ext>
          </a:extLst>
        </xdr:cNvPr>
        <xdr:cNvSpPr txBox="1"/>
      </xdr:nvSpPr>
      <xdr:spPr>
        <a:xfrm>
          <a:off x="7296150" y="2095500"/>
          <a:ext cx="4924426" cy="162877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To Begin,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You may notice in the ribbon that there is a new tab called </a:t>
          </a:r>
          <a:r>
            <a:rPr lang="en-CA" sz="1100" b="1" baseline="0">
              <a:solidFill>
                <a:schemeClr val="accent3"/>
              </a:solidFill>
            </a:rPr>
            <a:t>"Statistics"</a:t>
          </a:r>
          <a:r>
            <a:rPr lang="en-CA" sz="1100" b="1" baseline="0">
              <a:solidFill>
                <a:schemeClr val="tx1"/>
              </a:solidFill>
            </a:rPr>
            <a:t>, navigate there and  have a look at the options.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1. Navigate to the sheet named </a:t>
          </a:r>
          <a:r>
            <a:rPr lang="en-CA" sz="1100" b="1" baseline="0">
              <a:solidFill>
                <a:schemeClr val="accent1"/>
              </a:solidFill>
            </a:rPr>
            <a:t>"Instructions" </a:t>
          </a:r>
          <a:r>
            <a:rPr lang="en-CA" sz="1100" b="1" baseline="0">
              <a:solidFill>
                <a:schemeClr val="tx1"/>
              </a:solidFill>
            </a:rPr>
            <a:t>for more instructions.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180974</xdr:rowOff>
    </xdr:from>
    <xdr:to>
      <xdr:col>15</xdr:col>
      <xdr:colOff>600074</xdr:colOff>
      <xdr:row>16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8020209-C4D3-4616-BA5D-218811FCB7AA}"/>
            </a:ext>
          </a:extLst>
        </xdr:cNvPr>
        <xdr:cNvSpPr txBox="1"/>
      </xdr:nvSpPr>
      <xdr:spPr>
        <a:xfrm>
          <a:off x="4286249" y="180974"/>
          <a:ext cx="5457825" cy="2867026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 baseline="0">
              <a:solidFill>
                <a:schemeClr val="accent6"/>
              </a:solidFill>
            </a:rPr>
            <a:t>Instructions</a:t>
          </a:r>
        </a:p>
        <a:p>
          <a:pPr algn="ctr"/>
          <a:endParaRPr lang="en-CA" sz="1400" b="1" baseline="0">
            <a:solidFill>
              <a:schemeClr val="accent6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By default, the entire database is filled into the </a:t>
          </a:r>
          <a:r>
            <a:rPr lang="en-CA" sz="1100" b="1" baseline="0">
              <a:solidFill>
                <a:schemeClr val="accent1"/>
              </a:solidFill>
            </a:rPr>
            <a:t>"Filter Summary" </a:t>
          </a:r>
          <a:r>
            <a:rPr lang="en-CA" sz="1100" b="1" baseline="0">
              <a:solidFill>
                <a:schemeClr val="tx1"/>
              </a:solidFill>
            </a:rPr>
            <a:t>tab.</a:t>
          </a:r>
        </a:p>
        <a:p>
          <a:pPr algn="ctr"/>
          <a:r>
            <a:rPr lang="en-CA" sz="1100" b="1" baseline="0">
              <a:solidFill>
                <a:schemeClr val="tx1"/>
              </a:solidFill>
            </a:rPr>
            <a:t>From there, you can look at what the returned data will look like after filtered.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To start filtering the data, navigate to the ribbon and click the button labelled </a:t>
          </a:r>
          <a:r>
            <a:rPr lang="en-CA" sz="1100" b="1" baseline="0">
              <a:solidFill>
                <a:schemeClr val="accent5"/>
              </a:solidFill>
            </a:rPr>
            <a:t>"Filter"</a:t>
          </a:r>
        </a:p>
        <a:p>
          <a:pPr algn="ctr"/>
          <a:endParaRPr lang="en-CA" sz="1100" b="1" baseline="0">
            <a:solidFill>
              <a:schemeClr val="accent5"/>
            </a:solidFill>
          </a:endParaRPr>
        </a:p>
        <a:p>
          <a:pPr algn="ctr"/>
          <a:endParaRPr lang="en-CA" sz="1100" b="1" baseline="0">
            <a:solidFill>
              <a:schemeClr val="accent5"/>
            </a:solidFill>
          </a:endParaRPr>
        </a:p>
      </xdr:txBody>
    </xdr:sp>
    <xdr:clientData/>
  </xdr:twoCellAnchor>
  <xdr:twoCellAnchor editAs="oneCell">
    <xdr:from>
      <xdr:col>11</xdr:col>
      <xdr:colOff>66675</xdr:colOff>
      <xdr:row>11</xdr:row>
      <xdr:rowOff>78039</xdr:rowOff>
    </xdr:from>
    <xdr:to>
      <xdr:col>11</xdr:col>
      <xdr:colOff>561975</xdr:colOff>
      <xdr:row>15</xdr:row>
      <xdr:rowOff>28575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0FECE58-3E40-46FD-87B7-67AB2AC72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2275" y="2173539"/>
          <a:ext cx="495300" cy="712536"/>
        </a:xfrm>
        <a:prstGeom prst="rect">
          <a:avLst/>
        </a:prstGeom>
      </xdr:spPr>
    </xdr:pic>
    <xdr:clientData/>
  </xdr:twoCellAnchor>
  <xdr:twoCellAnchor>
    <xdr:from>
      <xdr:col>3</xdr:col>
      <xdr:colOff>9525</xdr:colOff>
      <xdr:row>17</xdr:row>
      <xdr:rowOff>0</xdr:rowOff>
    </xdr:from>
    <xdr:to>
      <xdr:col>11</xdr:col>
      <xdr:colOff>19051</xdr:colOff>
      <xdr:row>27</xdr:row>
      <xdr:rowOff>9525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6C78419-B4FC-4E1B-B814-9C17DA904E63}"/>
            </a:ext>
          </a:extLst>
        </xdr:cNvPr>
        <xdr:cNvSpPr txBox="1"/>
      </xdr:nvSpPr>
      <xdr:spPr>
        <a:xfrm>
          <a:off x="1838325" y="3238500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This will open a UserForm that will then prompt you to do three things: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accent1">
                  <a:lumMod val="75000"/>
                </a:schemeClr>
              </a:solidFill>
            </a:rPr>
            <a:t>1. Import the database file from your computer named "NBA Statistics 2024"</a:t>
          </a:r>
        </a:p>
        <a:p>
          <a:pPr algn="ctr"/>
          <a:r>
            <a:rPr lang="en-CA" sz="1100" b="1" baseline="0">
              <a:solidFill>
                <a:schemeClr val="accent1">
                  <a:lumMod val="75000"/>
                </a:schemeClr>
              </a:solidFill>
            </a:rPr>
            <a:t>(this file is attached within the zip file)</a:t>
          </a:r>
        </a:p>
        <a:p>
          <a:pPr algn="ctr"/>
          <a:r>
            <a:rPr lang="en-CA" sz="1100" b="1" baseline="0">
              <a:solidFill>
                <a:schemeClr val="accent2"/>
              </a:solidFill>
            </a:rPr>
            <a:t>2. Choose what positions/teams to include</a:t>
          </a:r>
        </a:p>
        <a:p>
          <a:pPr algn="ctr"/>
          <a:r>
            <a:rPr lang="en-CA" sz="1100" b="1" baseline="0">
              <a:solidFill>
                <a:schemeClr val="accent2"/>
              </a:solidFill>
            </a:rPr>
            <a:t>(Select "None" if you want to include all of them)</a:t>
          </a:r>
        </a:p>
        <a:p>
          <a:pPr algn="ctr"/>
          <a:r>
            <a:rPr lang="en-CA" sz="1100" b="1" baseline="0">
              <a:solidFill>
                <a:schemeClr val="tx2">
                  <a:lumMod val="50000"/>
                  <a:lumOff val="50000"/>
                </a:schemeClr>
              </a:solidFill>
            </a:rPr>
            <a:t>3. Further filter by specifying an age range</a:t>
          </a:r>
          <a:endParaRPr lang="en-CA" sz="800" b="1" baseline="0">
            <a:solidFill>
              <a:schemeClr val="tx2">
                <a:lumMod val="50000"/>
                <a:lumOff val="50000"/>
              </a:schemeClr>
            </a:solidFill>
          </a:endParaRPr>
        </a:p>
        <a:p>
          <a:pPr algn="ctr"/>
          <a:endParaRPr lang="en-CA" sz="8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Next, refer to step 2. </a:t>
          </a:r>
        </a:p>
      </xdr:txBody>
    </xdr:sp>
    <xdr:clientData/>
  </xdr:twoCellAnchor>
  <xdr:twoCellAnchor>
    <xdr:from>
      <xdr:col>12</xdr:col>
      <xdr:colOff>0</xdr:colOff>
      <xdr:row>17</xdr:row>
      <xdr:rowOff>9525</xdr:rowOff>
    </xdr:from>
    <xdr:to>
      <xdr:col>20</xdr:col>
      <xdr:colOff>9526</xdr:colOff>
      <xdr:row>27</xdr:row>
      <xdr:rowOff>19050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D44296-BB31-44B5-9DE0-67997E1644A4}"/>
            </a:ext>
          </a:extLst>
        </xdr:cNvPr>
        <xdr:cNvSpPr txBox="1"/>
      </xdr:nvSpPr>
      <xdr:spPr>
        <a:xfrm>
          <a:off x="7315200" y="3248025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2. Before clicking </a:t>
          </a:r>
          <a:r>
            <a:rPr lang="en-CA" sz="1100" b="1" baseline="0">
              <a:solidFill>
                <a:schemeClr val="tx2">
                  <a:lumMod val="50000"/>
                  <a:lumOff val="50000"/>
                </a:schemeClr>
              </a:solidFill>
            </a:rPr>
            <a:t>Generate</a:t>
          </a:r>
          <a:r>
            <a:rPr lang="en-CA" sz="1100" b="1" baseline="0">
              <a:solidFill>
                <a:schemeClr val="tx1"/>
              </a:solidFill>
            </a:rPr>
            <a:t>, check if the </a:t>
          </a:r>
          <a:r>
            <a:rPr lang="en-CA" sz="1100" b="1" baseline="0">
              <a:solidFill>
                <a:schemeClr val="accent1"/>
              </a:solidFill>
            </a:rPr>
            <a:t>"Filter Summary" </a:t>
          </a:r>
          <a:r>
            <a:rPr lang="en-CA" sz="1100" b="1" baseline="0">
              <a:solidFill>
                <a:schemeClr val="tx1"/>
              </a:solidFill>
            </a:rPr>
            <a:t>tab is in the sheet.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If it is, navigate to the ribbon and click the button labelled </a:t>
          </a:r>
          <a:r>
            <a:rPr lang="en-CA" sz="1100" b="1" baseline="0">
              <a:solidFill>
                <a:schemeClr val="accent3">
                  <a:lumMod val="75000"/>
                </a:schemeClr>
              </a:solidFill>
            </a:rPr>
            <a:t>"Clear Results"</a:t>
          </a:r>
          <a:r>
            <a:rPr lang="en-CA" sz="1100" b="1" baseline="0">
              <a:solidFill>
                <a:sysClr val="windowText" lastClr="000000"/>
              </a:solidFill>
            </a:rPr>
            <a:t> . This will delete the worksheet. </a:t>
          </a: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542925</xdr:colOff>
      <xdr:row>23</xdr:row>
      <xdr:rowOff>126351</xdr:rowOff>
    </xdr:from>
    <xdr:to>
      <xdr:col>16</xdr:col>
      <xdr:colOff>304800</xdr:colOff>
      <xdr:row>26</xdr:row>
      <xdr:rowOff>123920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CDE5291-E76D-D59E-C427-04F6CEAEA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86925" y="4507851"/>
          <a:ext cx="371475" cy="569069"/>
        </a:xfrm>
        <a:prstGeom prst="rect">
          <a:avLst/>
        </a:prstGeom>
      </xdr:spPr>
    </xdr:pic>
    <xdr:clientData/>
  </xdr:twoCellAnchor>
  <xdr:twoCellAnchor>
    <xdr:from>
      <xdr:col>2</xdr:col>
      <xdr:colOff>600075</xdr:colOff>
      <xdr:row>28</xdr:row>
      <xdr:rowOff>0</xdr:rowOff>
    </xdr:from>
    <xdr:to>
      <xdr:col>11</xdr:col>
      <xdr:colOff>1</xdr:colOff>
      <xdr:row>38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5F21CBF-2655-44CC-A2BA-A8016606413D}"/>
            </a:ext>
          </a:extLst>
        </xdr:cNvPr>
        <xdr:cNvSpPr txBox="1"/>
      </xdr:nvSpPr>
      <xdr:spPr>
        <a:xfrm>
          <a:off x="1819275" y="5334000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3. Now, click </a:t>
          </a:r>
          <a:r>
            <a:rPr lang="en-CA" sz="1100" b="1" baseline="0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to view your filtered data! </a:t>
          </a:r>
        </a:p>
        <a:p>
          <a:pPr algn="ctr"/>
          <a:endParaRPr lang="en-CA" sz="11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The "Clear" button on the UserForm also deletes the worksheet for easier access. </a:t>
          </a:r>
        </a:p>
        <a:p>
          <a:pPr algn="ctr"/>
          <a:endParaRPr lang="en-CA" sz="11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On the bottom of the page, </a:t>
          </a:r>
          <a:r>
            <a:rPr lang="en-CA" sz="1100" b="1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two rows under the final row</a:t>
          </a:r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of data you will find </a:t>
          </a:r>
          <a:r>
            <a:rPr lang="en-CA" sz="1100" b="1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averages </a:t>
          </a:r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for each of the statistics being calculated!</a:t>
          </a:r>
          <a:endParaRPr lang="en-CA" sz="1100" b="1" baseline="0">
            <a:solidFill>
              <a:schemeClr val="tx2">
                <a:lumMod val="50000"/>
                <a:lumOff val="50000"/>
              </a:schemeClr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9525</xdr:colOff>
      <xdr:row>27</xdr:row>
      <xdr:rowOff>180975</xdr:rowOff>
    </xdr:from>
    <xdr:to>
      <xdr:col>20</xdr:col>
      <xdr:colOff>19051</xdr:colOff>
      <xdr:row>38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4FDC27F-DF2B-49F0-99C6-FE8ED772E0DE}"/>
            </a:ext>
          </a:extLst>
        </xdr:cNvPr>
        <xdr:cNvSpPr txBox="1"/>
      </xdr:nvSpPr>
      <xdr:spPr>
        <a:xfrm>
          <a:off x="7324725" y="5324475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4. Navigate to the tab named </a:t>
          </a:r>
          <a:r>
            <a:rPr lang="en-CA" sz="1100" b="1" baseline="0">
              <a:solidFill>
                <a:schemeClr val="accent1"/>
              </a:solidFill>
            </a:rPr>
            <a:t>"Histogram Data"</a:t>
          </a:r>
          <a:r>
            <a:rPr lang="en-CA" sz="1100" b="1" baseline="0">
              <a:solidFill>
                <a:schemeClr val="tx1"/>
              </a:solidFill>
            </a:rPr>
            <a:t>, in this tab you can find charts and tables that </a:t>
          </a:r>
          <a:r>
            <a:rPr lang="en-CA" sz="1100" b="1" baseline="0">
              <a:solidFill>
                <a:schemeClr val="accent2"/>
              </a:solidFill>
            </a:rPr>
            <a:t>update dynamically </a:t>
          </a:r>
          <a:r>
            <a:rPr lang="en-CA" sz="1100" b="1" baseline="0">
              <a:solidFill>
                <a:schemeClr val="tx1"/>
              </a:solidFill>
            </a:rPr>
            <a:t>as you filter the data!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There are charts for every major statistic category to help visualize the data that is being filtered. </a:t>
          </a:r>
          <a:endParaRPr lang="en-CA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371475</xdr:colOff>
      <xdr:row>39</xdr:row>
      <xdr:rowOff>9525</xdr:rowOff>
    </xdr:from>
    <xdr:to>
      <xdr:col>15</xdr:col>
      <xdr:colOff>381001</xdr:colOff>
      <xdr:row>52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CD99633-B13B-4810-B692-E24C7B84F814}"/>
            </a:ext>
          </a:extLst>
        </xdr:cNvPr>
        <xdr:cNvSpPr txBox="1"/>
      </xdr:nvSpPr>
      <xdr:spPr>
        <a:xfrm>
          <a:off x="4638675" y="7439025"/>
          <a:ext cx="4886326" cy="261937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ysClr val="windowText" lastClr="000000"/>
              </a:solidFill>
            </a:rPr>
            <a:t>5. Finally, in the ribbon there is a button named </a:t>
          </a:r>
          <a:r>
            <a:rPr lang="en-CA" sz="1100" b="1" baseline="0">
              <a:solidFill>
                <a:schemeClr val="accent1"/>
              </a:solidFill>
            </a:rPr>
            <a:t>"Generate Report" </a:t>
          </a: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</a:rPr>
            <a:t>This button will take the wording and the data from the </a:t>
          </a:r>
          <a:r>
            <a:rPr lang="en-CA" sz="1100" b="1" baseline="0">
              <a:solidFill>
                <a:schemeClr val="tx2">
                  <a:lumMod val="75000"/>
                  <a:lumOff val="25000"/>
                </a:schemeClr>
              </a:solidFill>
            </a:rPr>
            <a:t>"Histogram Data" </a:t>
          </a:r>
          <a:r>
            <a:rPr lang="en-CA" sz="1100" b="1" baseline="0">
              <a:solidFill>
                <a:sysClr val="windowText" lastClr="000000"/>
              </a:solidFill>
            </a:rPr>
            <a:t>sheet and generate a </a:t>
          </a:r>
          <a:r>
            <a:rPr lang="en-CA" sz="1100" b="1" baseline="0">
              <a:solidFill>
                <a:schemeClr val="accent2"/>
              </a:solidFill>
            </a:rPr>
            <a:t>report in the form of a word document </a:t>
          </a:r>
          <a:r>
            <a:rPr lang="en-CA" sz="1100" b="1" baseline="0">
              <a:solidFill>
                <a:sysClr val="windowText" lastClr="000000"/>
              </a:solidFill>
            </a:rPr>
            <a:t>that holds all of the charts. </a:t>
          </a: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r>
            <a:rPr lang="en-CA" sz="800" b="1" baseline="0">
              <a:solidFill>
                <a:sysClr val="windowText" lastClr="000000"/>
              </a:solidFill>
            </a:rPr>
            <a:t>* Note the generated report will need to be opened from your file explorer, the path to your file explorer will be displayed when the document is created! * </a:t>
          </a:r>
        </a:p>
        <a:p>
          <a:pPr algn="ctr"/>
          <a:endParaRPr lang="en-CA" sz="800" b="1" baseline="0">
            <a:solidFill>
              <a:sysClr val="windowText" lastClr="000000"/>
            </a:solidFill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</a:rPr>
            <a:t>Enjoy!</a:t>
          </a:r>
        </a:p>
      </xdr:txBody>
    </xdr:sp>
    <xdr:clientData/>
  </xdr:twoCellAnchor>
  <xdr:twoCellAnchor editAs="oneCell">
    <xdr:from>
      <xdr:col>11</xdr:col>
      <xdr:colOff>57150</xdr:colOff>
      <xdr:row>41</xdr:row>
      <xdr:rowOff>142875</xdr:rowOff>
    </xdr:from>
    <xdr:to>
      <xdr:col>12</xdr:col>
      <xdr:colOff>28656</xdr:colOff>
      <xdr:row>45</xdr:row>
      <xdr:rowOff>123929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172CD5F-7193-F154-E2F1-D75796AA7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62750" y="7953375"/>
          <a:ext cx="581106" cy="7430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18</xdr:row>
      <xdr:rowOff>9526</xdr:rowOff>
    </xdr:from>
    <xdr:to>
      <xdr:col>11</xdr:col>
      <xdr:colOff>9525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DD638C-BB18-7F14-FE97-BA086AE98A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34</xdr:row>
      <xdr:rowOff>180975</xdr:rowOff>
    </xdr:from>
    <xdr:to>
      <xdr:col>11</xdr:col>
      <xdr:colOff>19051</xdr:colOff>
      <xdr:row>47</xdr:row>
      <xdr:rowOff>171449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3C725B4-DFB9-4493-971C-041F842E4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18</xdr:row>
      <xdr:rowOff>0</xdr:rowOff>
    </xdr:from>
    <xdr:to>
      <xdr:col>22</xdr:col>
      <xdr:colOff>19051</xdr:colOff>
      <xdr:row>30</xdr:row>
      <xdr:rowOff>180974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0B1C3EE-B63D-441A-AC04-D7517D85D8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</xdr:colOff>
      <xdr:row>34</xdr:row>
      <xdr:rowOff>180975</xdr:rowOff>
    </xdr:from>
    <xdr:to>
      <xdr:col>22</xdr:col>
      <xdr:colOff>28576</xdr:colOff>
      <xdr:row>47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F952B76-8C06-43CA-A9FA-42AD94F9D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600075</xdr:colOff>
      <xdr:row>52</xdr:row>
      <xdr:rowOff>0</xdr:rowOff>
    </xdr:from>
    <xdr:to>
      <xdr:col>11</xdr:col>
      <xdr:colOff>9526</xdr:colOff>
      <xdr:row>64</xdr:row>
      <xdr:rowOff>180974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C1F2CFD-FDF4-4BA6-B36D-53A32230C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9525</xdr:colOff>
      <xdr:row>52</xdr:row>
      <xdr:rowOff>19050</xdr:rowOff>
    </xdr:from>
    <xdr:to>
      <xdr:col>22</xdr:col>
      <xdr:colOff>28576</xdr:colOff>
      <xdr:row>65</xdr:row>
      <xdr:rowOff>9524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61E5184-4FF7-48BB-82B9-E707E1FA9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79EB9-F9CA-4BC1-8DFB-4F530BB76635}">
  <sheetPr codeName="Sheet1"/>
  <dimension ref="A1"/>
  <sheetViews>
    <sheetView tabSelected="1" workbookViewId="0">
      <selection activeCell="H36" sqref="H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E4D50-E4D0-4AA5-97CC-E570807B5BAB}">
  <sheetPr codeName="Sheet3"/>
  <dimension ref="A1"/>
  <sheetViews>
    <sheetView topLeftCell="D1" workbookViewId="0">
      <selection activeCell="O56" sqref="O5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A997-207C-4A10-8515-3626A4A1DE8C}">
  <dimension ref="A1:AB217"/>
  <sheetViews>
    <sheetView topLeftCell="A190" workbookViewId="0"/>
  </sheetViews>
  <sheetFormatPr defaultRowHeight="15" x14ac:dyDescent="0.25"/>
  <cols>
    <col min="1" max="1" width="24.28515625" bestFit="1" customWidth="1"/>
    <col min="2" max="3" width="4.28515625" bestFit="1" customWidth="1"/>
    <col min="4" max="4" width="5" bestFit="1" customWidth="1"/>
    <col min="5" max="5" width="3" bestFit="1" customWidth="1"/>
    <col min="6" max="6" width="3.5703125" bestFit="1" customWidth="1"/>
    <col min="7" max="7" width="5" bestFit="1" customWidth="1"/>
    <col min="8" max="8" width="4.85546875" bestFit="1" customWidth="1"/>
    <col min="9" max="10" width="5" bestFit="1" customWidth="1"/>
    <col min="11" max="11" width="4.28515625" bestFit="1" customWidth="1"/>
    <col min="12" max="12" width="4.140625" bestFit="1" customWidth="1"/>
    <col min="13" max="13" width="4.5703125" bestFit="1" customWidth="1"/>
    <col min="14" max="14" width="4" bestFit="1" customWidth="1"/>
    <col min="15" max="17" width="5" bestFit="1" customWidth="1"/>
    <col min="18" max="18" width="6" bestFit="1" customWidth="1"/>
    <col min="19" max="19" width="4" bestFit="1" customWidth="1"/>
    <col min="20" max="20" width="4.28515625" bestFit="1" customWidth="1"/>
    <col min="21" max="21" width="6" bestFit="1" customWidth="1"/>
    <col min="22" max="23" width="5" bestFit="1" customWidth="1"/>
    <col min="24" max="24" width="6" bestFit="1" customWidth="1"/>
    <col min="25" max="25" width="6.140625" bestFit="1" customWidth="1"/>
    <col min="26" max="27" width="5" bestFit="1" customWidth="1"/>
    <col min="28" max="28" width="6" bestFit="1" customWidth="1"/>
  </cols>
  <sheetData>
    <row r="1" spans="1:28" s="5" customForma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</row>
    <row r="2" spans="1:28" x14ac:dyDescent="0.25">
      <c r="A2" t="s">
        <v>112</v>
      </c>
      <c r="B2" t="s">
        <v>13</v>
      </c>
      <c r="C2">
        <v>24</v>
      </c>
      <c r="D2" t="s">
        <v>71</v>
      </c>
      <c r="E2">
        <v>9</v>
      </c>
      <c r="F2">
        <v>2</v>
      </c>
      <c r="G2">
        <v>20.399999999999999</v>
      </c>
      <c r="H2">
        <v>2.4</v>
      </c>
      <c r="I2">
        <v>1.8</v>
      </c>
      <c r="J2">
        <v>4.2</v>
      </c>
      <c r="K2">
        <v>0.6</v>
      </c>
      <c r="L2">
        <v>0.4</v>
      </c>
      <c r="M2">
        <v>0.4</v>
      </c>
      <c r="N2">
        <v>2.2000000000000002</v>
      </c>
      <c r="O2">
        <v>5.2</v>
      </c>
      <c r="P2">
        <v>2.2999999999999998</v>
      </c>
      <c r="Q2">
        <v>4.8</v>
      </c>
      <c r="R2">
        <v>0.48799999999999999</v>
      </c>
      <c r="S2">
        <v>0</v>
      </c>
      <c r="T2">
        <v>0.3</v>
      </c>
      <c r="U2">
        <v>0</v>
      </c>
      <c r="V2">
        <v>2.2999999999999998</v>
      </c>
      <c r="W2">
        <v>4.4000000000000004</v>
      </c>
      <c r="X2">
        <v>0.52500000000000002</v>
      </c>
      <c r="Y2">
        <v>0.48799999999999999</v>
      </c>
      <c r="Z2">
        <v>0.6</v>
      </c>
      <c r="AA2">
        <v>1.4</v>
      </c>
      <c r="AB2">
        <v>0.38500000000000001</v>
      </c>
    </row>
    <row r="3" spans="1:28" x14ac:dyDescent="0.25">
      <c r="A3" t="s">
        <v>113</v>
      </c>
      <c r="B3" t="s">
        <v>29</v>
      </c>
      <c r="C3">
        <v>26</v>
      </c>
      <c r="D3" t="s">
        <v>85</v>
      </c>
      <c r="E3">
        <v>5</v>
      </c>
      <c r="F3">
        <v>5</v>
      </c>
      <c r="G3">
        <v>38.4</v>
      </c>
      <c r="H3">
        <v>2.2000000000000002</v>
      </c>
      <c r="I3">
        <v>7.2</v>
      </c>
      <c r="J3">
        <v>9.4</v>
      </c>
      <c r="K3">
        <v>3.8</v>
      </c>
      <c r="L3">
        <v>0.4</v>
      </c>
      <c r="M3">
        <v>1.6</v>
      </c>
      <c r="N3">
        <v>3</v>
      </c>
      <c r="O3">
        <v>22.6</v>
      </c>
      <c r="P3">
        <v>9.6</v>
      </c>
      <c r="Q3">
        <v>19.399999999999999</v>
      </c>
      <c r="R3">
        <v>0.495</v>
      </c>
      <c r="S3">
        <v>0.4</v>
      </c>
      <c r="T3">
        <v>2</v>
      </c>
      <c r="U3">
        <v>0.2</v>
      </c>
      <c r="V3">
        <v>9.1999999999999993</v>
      </c>
      <c r="W3">
        <v>17.399999999999999</v>
      </c>
      <c r="X3">
        <v>0.52900000000000003</v>
      </c>
      <c r="Y3">
        <v>0.505</v>
      </c>
      <c r="Z3">
        <v>3</v>
      </c>
      <c r="AA3">
        <v>4.2</v>
      </c>
      <c r="AB3">
        <v>0.71399999999999997</v>
      </c>
    </row>
    <row r="4" spans="1:28" x14ac:dyDescent="0.25">
      <c r="A4" t="s">
        <v>56</v>
      </c>
      <c r="B4" t="s">
        <v>35</v>
      </c>
      <c r="C4">
        <v>25</v>
      </c>
      <c r="D4" t="s">
        <v>57</v>
      </c>
      <c r="E4">
        <v>16</v>
      </c>
      <c r="F4">
        <v>1</v>
      </c>
      <c r="G4">
        <v>23.6</v>
      </c>
      <c r="H4">
        <v>0.3</v>
      </c>
      <c r="I4">
        <v>1.4</v>
      </c>
      <c r="J4">
        <v>1.8</v>
      </c>
      <c r="K4">
        <v>2.2999999999999998</v>
      </c>
      <c r="L4">
        <v>0.6</v>
      </c>
      <c r="M4">
        <v>0.9</v>
      </c>
      <c r="N4">
        <v>1.5</v>
      </c>
      <c r="O4">
        <v>7.3</v>
      </c>
      <c r="P4">
        <v>2.6</v>
      </c>
      <c r="Q4">
        <v>7</v>
      </c>
      <c r="R4">
        <v>0.36599999999999999</v>
      </c>
      <c r="S4">
        <v>1.5</v>
      </c>
      <c r="T4">
        <v>5.0999999999999996</v>
      </c>
      <c r="U4">
        <v>0.29599999999999999</v>
      </c>
      <c r="V4">
        <v>1.1000000000000001</v>
      </c>
      <c r="W4">
        <v>1.9</v>
      </c>
      <c r="X4">
        <v>0.54800000000000004</v>
      </c>
      <c r="Y4">
        <v>0.47299999999999998</v>
      </c>
      <c r="Z4">
        <v>0.6</v>
      </c>
      <c r="AA4">
        <v>0.6</v>
      </c>
      <c r="AB4">
        <v>1</v>
      </c>
    </row>
    <row r="5" spans="1:28" x14ac:dyDescent="0.25">
      <c r="A5" t="s">
        <v>58</v>
      </c>
      <c r="B5" t="s">
        <v>35</v>
      </c>
      <c r="C5">
        <v>28</v>
      </c>
      <c r="D5" t="s">
        <v>59</v>
      </c>
      <c r="E5">
        <v>2</v>
      </c>
      <c r="F5">
        <v>2</v>
      </c>
      <c r="G5">
        <v>21.5</v>
      </c>
      <c r="H5">
        <v>1</v>
      </c>
      <c r="I5">
        <v>3</v>
      </c>
      <c r="J5">
        <v>4</v>
      </c>
      <c r="K5">
        <v>1</v>
      </c>
      <c r="L5">
        <v>0.5</v>
      </c>
      <c r="M5">
        <v>1.5</v>
      </c>
      <c r="N5">
        <v>2</v>
      </c>
      <c r="O5">
        <v>3.5</v>
      </c>
      <c r="P5">
        <v>0.5</v>
      </c>
      <c r="Q5">
        <v>2.5</v>
      </c>
      <c r="R5">
        <v>0.2</v>
      </c>
      <c r="S5">
        <v>0.5</v>
      </c>
      <c r="T5">
        <v>2.5</v>
      </c>
      <c r="U5">
        <v>0.2</v>
      </c>
      <c r="V5">
        <v>0</v>
      </c>
      <c r="W5">
        <v>0</v>
      </c>
      <c r="X5">
        <v>0</v>
      </c>
      <c r="Y5">
        <v>0.3</v>
      </c>
      <c r="Z5">
        <v>2</v>
      </c>
      <c r="AA5">
        <v>2</v>
      </c>
      <c r="AB5">
        <v>1</v>
      </c>
    </row>
    <row r="6" spans="1:28" x14ac:dyDescent="0.25">
      <c r="A6" t="s">
        <v>28</v>
      </c>
      <c r="B6" t="s">
        <v>29</v>
      </c>
      <c r="C6">
        <v>25</v>
      </c>
      <c r="D6" t="s">
        <v>30</v>
      </c>
      <c r="E6">
        <v>4</v>
      </c>
      <c r="F6">
        <v>4</v>
      </c>
      <c r="G6">
        <v>31.8</v>
      </c>
      <c r="H6">
        <v>3.8</v>
      </c>
      <c r="I6">
        <v>10</v>
      </c>
      <c r="J6">
        <v>13.8</v>
      </c>
      <c r="K6">
        <v>1.3</v>
      </c>
      <c r="L6">
        <v>1.3</v>
      </c>
      <c r="M6">
        <v>1.3</v>
      </c>
      <c r="N6">
        <v>2</v>
      </c>
      <c r="O6">
        <v>17</v>
      </c>
      <c r="P6">
        <v>6.3</v>
      </c>
      <c r="Q6">
        <v>9.3000000000000007</v>
      </c>
      <c r="R6">
        <v>0.67600000000000005</v>
      </c>
      <c r="S6">
        <v>0</v>
      </c>
      <c r="T6">
        <v>0</v>
      </c>
      <c r="U6">
        <v>0</v>
      </c>
      <c r="V6">
        <v>6.3</v>
      </c>
      <c r="W6">
        <v>9.3000000000000007</v>
      </c>
      <c r="X6">
        <v>0.67600000000000005</v>
      </c>
      <c r="Y6">
        <v>0.67600000000000005</v>
      </c>
      <c r="Z6">
        <v>4.5</v>
      </c>
      <c r="AA6">
        <v>6.5</v>
      </c>
      <c r="AB6">
        <v>0.69199999999999995</v>
      </c>
    </row>
    <row r="7" spans="1:28" x14ac:dyDescent="0.25">
      <c r="A7" t="s">
        <v>114</v>
      </c>
      <c r="B7" t="s">
        <v>32</v>
      </c>
      <c r="C7">
        <v>25</v>
      </c>
      <c r="D7" t="s">
        <v>83</v>
      </c>
      <c r="E7">
        <v>4</v>
      </c>
      <c r="F7">
        <v>0</v>
      </c>
      <c r="G7">
        <v>15.5</v>
      </c>
      <c r="H7">
        <v>0</v>
      </c>
      <c r="I7">
        <v>1</v>
      </c>
      <c r="J7">
        <v>1</v>
      </c>
      <c r="K7">
        <v>2.2999999999999998</v>
      </c>
      <c r="L7">
        <v>1.3</v>
      </c>
      <c r="M7">
        <v>1</v>
      </c>
      <c r="N7">
        <v>0.8</v>
      </c>
      <c r="O7">
        <v>1.8</v>
      </c>
      <c r="P7">
        <v>0.8</v>
      </c>
      <c r="Q7">
        <v>5</v>
      </c>
      <c r="R7">
        <v>0.15</v>
      </c>
      <c r="S7">
        <v>0.3</v>
      </c>
      <c r="T7">
        <v>3.5</v>
      </c>
      <c r="U7">
        <v>7.0999999999999994E-2</v>
      </c>
      <c r="V7">
        <v>0.5</v>
      </c>
      <c r="W7">
        <v>1.5</v>
      </c>
      <c r="X7">
        <v>0.33300000000000002</v>
      </c>
      <c r="Y7">
        <v>0.17499999999999999</v>
      </c>
      <c r="Z7">
        <v>0</v>
      </c>
      <c r="AA7">
        <v>0</v>
      </c>
      <c r="AB7">
        <v>0</v>
      </c>
    </row>
    <row r="8" spans="1:28" x14ac:dyDescent="0.25">
      <c r="A8" t="s">
        <v>115</v>
      </c>
      <c r="B8" t="s">
        <v>13</v>
      </c>
      <c r="C8">
        <v>30</v>
      </c>
      <c r="D8" t="s">
        <v>57</v>
      </c>
      <c r="E8">
        <v>15</v>
      </c>
      <c r="F8">
        <v>1</v>
      </c>
      <c r="G8">
        <v>15.4</v>
      </c>
      <c r="H8">
        <v>1.2</v>
      </c>
      <c r="I8">
        <v>1.5</v>
      </c>
      <c r="J8">
        <v>2.7</v>
      </c>
      <c r="K8">
        <v>2.5</v>
      </c>
      <c r="L8">
        <v>0.7</v>
      </c>
      <c r="M8">
        <v>0.7</v>
      </c>
      <c r="N8">
        <v>1.7</v>
      </c>
      <c r="O8">
        <v>4.3</v>
      </c>
      <c r="P8">
        <v>1.7</v>
      </c>
      <c r="Q8">
        <v>3.8</v>
      </c>
      <c r="R8">
        <v>0.45600000000000002</v>
      </c>
      <c r="S8">
        <v>0.1</v>
      </c>
      <c r="T8">
        <v>0.5</v>
      </c>
      <c r="U8">
        <v>0.25</v>
      </c>
      <c r="V8">
        <v>1.6</v>
      </c>
      <c r="W8">
        <v>3.3</v>
      </c>
      <c r="X8">
        <v>0.49</v>
      </c>
      <c r="Y8">
        <v>0.47399999999999998</v>
      </c>
      <c r="Z8">
        <v>0.7</v>
      </c>
      <c r="AA8">
        <v>0.8</v>
      </c>
      <c r="AB8">
        <v>0.83299999999999996</v>
      </c>
    </row>
    <row r="9" spans="1:28" x14ac:dyDescent="0.25">
      <c r="A9" t="s">
        <v>116</v>
      </c>
      <c r="B9" t="s">
        <v>13</v>
      </c>
      <c r="C9">
        <v>31</v>
      </c>
      <c r="D9" t="s">
        <v>62</v>
      </c>
      <c r="E9">
        <v>2</v>
      </c>
      <c r="F9">
        <v>0</v>
      </c>
      <c r="G9">
        <v>2.5</v>
      </c>
      <c r="H9">
        <v>0</v>
      </c>
      <c r="I9">
        <v>0</v>
      </c>
      <c r="J9">
        <v>0</v>
      </c>
      <c r="K9">
        <v>0</v>
      </c>
      <c r="L9">
        <v>0.5</v>
      </c>
      <c r="M9">
        <v>0</v>
      </c>
      <c r="N9">
        <v>0.5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 x14ac:dyDescent="0.25">
      <c r="A10" t="s">
        <v>117</v>
      </c>
      <c r="B10" t="s">
        <v>32</v>
      </c>
      <c r="C10">
        <v>23</v>
      </c>
      <c r="D10" t="s">
        <v>81</v>
      </c>
      <c r="E10">
        <v>7</v>
      </c>
      <c r="F10">
        <v>0</v>
      </c>
      <c r="G10">
        <v>14.7</v>
      </c>
      <c r="H10">
        <v>0.3</v>
      </c>
      <c r="I10">
        <v>1.9</v>
      </c>
      <c r="J10">
        <v>2.1</v>
      </c>
      <c r="K10">
        <v>1.3</v>
      </c>
      <c r="L10">
        <v>0.6</v>
      </c>
      <c r="M10">
        <v>0.7</v>
      </c>
      <c r="N10">
        <v>2.2999999999999998</v>
      </c>
      <c r="O10">
        <v>5.0999999999999996</v>
      </c>
      <c r="P10">
        <v>1.9</v>
      </c>
      <c r="Q10">
        <v>5.9</v>
      </c>
      <c r="R10">
        <v>0.317</v>
      </c>
      <c r="S10">
        <v>0.3</v>
      </c>
      <c r="T10">
        <v>1.9</v>
      </c>
      <c r="U10">
        <v>0.154</v>
      </c>
      <c r="V10">
        <v>1.6</v>
      </c>
      <c r="W10">
        <v>4</v>
      </c>
      <c r="X10">
        <v>0.39300000000000002</v>
      </c>
      <c r="Y10">
        <v>0.34100000000000003</v>
      </c>
      <c r="Z10">
        <v>1.1000000000000001</v>
      </c>
      <c r="AA10">
        <v>1.3</v>
      </c>
      <c r="AB10">
        <v>0.88900000000000001</v>
      </c>
    </row>
    <row r="11" spans="1:28" x14ac:dyDescent="0.25">
      <c r="A11" t="s">
        <v>118</v>
      </c>
      <c r="B11" t="s">
        <v>42</v>
      </c>
      <c r="C11">
        <v>26</v>
      </c>
      <c r="D11" t="s">
        <v>71</v>
      </c>
      <c r="E11">
        <v>9</v>
      </c>
      <c r="F11">
        <v>9</v>
      </c>
      <c r="G11">
        <v>36</v>
      </c>
      <c r="H11">
        <v>0.8</v>
      </c>
      <c r="I11">
        <v>5.2</v>
      </c>
      <c r="J11">
        <v>6</v>
      </c>
      <c r="K11">
        <v>1.1000000000000001</v>
      </c>
      <c r="L11">
        <v>0.9</v>
      </c>
      <c r="M11">
        <v>1.1000000000000001</v>
      </c>
      <c r="N11">
        <v>1.7</v>
      </c>
      <c r="O11">
        <v>15.1</v>
      </c>
      <c r="P11">
        <v>6.2</v>
      </c>
      <c r="Q11">
        <v>12.3</v>
      </c>
      <c r="R11">
        <v>0.505</v>
      </c>
      <c r="S11">
        <v>1.8</v>
      </c>
      <c r="T11">
        <v>4.3</v>
      </c>
      <c r="U11">
        <v>0.41</v>
      </c>
      <c r="V11">
        <v>4.4000000000000004</v>
      </c>
      <c r="W11">
        <v>8</v>
      </c>
      <c r="X11">
        <v>0.55600000000000005</v>
      </c>
      <c r="Y11">
        <v>0.57699999999999996</v>
      </c>
      <c r="Z11">
        <v>0.9</v>
      </c>
      <c r="AA11">
        <v>1.4</v>
      </c>
      <c r="AB11">
        <v>0.61499999999999999</v>
      </c>
    </row>
    <row r="12" spans="1:28" x14ac:dyDescent="0.25">
      <c r="A12" t="s">
        <v>119</v>
      </c>
      <c r="B12" t="s">
        <v>13</v>
      </c>
      <c r="C12">
        <v>21</v>
      </c>
      <c r="D12" t="s">
        <v>81</v>
      </c>
      <c r="E12">
        <v>7</v>
      </c>
      <c r="F12">
        <v>7</v>
      </c>
      <c r="G12">
        <v>37.4</v>
      </c>
      <c r="H12">
        <v>2</v>
      </c>
      <c r="I12">
        <v>6.6</v>
      </c>
      <c r="J12">
        <v>8.6</v>
      </c>
      <c r="K12">
        <v>4</v>
      </c>
      <c r="L12">
        <v>1.1000000000000001</v>
      </c>
      <c r="M12">
        <v>4.5999999999999996</v>
      </c>
      <c r="N12">
        <v>2</v>
      </c>
      <c r="O12">
        <v>27</v>
      </c>
      <c r="P12">
        <v>9.6999999999999993</v>
      </c>
      <c r="Q12">
        <v>21.3</v>
      </c>
      <c r="R12">
        <v>0.45600000000000002</v>
      </c>
      <c r="S12">
        <v>2.2999999999999998</v>
      </c>
      <c r="T12">
        <v>5.7</v>
      </c>
      <c r="U12">
        <v>0.4</v>
      </c>
      <c r="V12">
        <v>7.4</v>
      </c>
      <c r="W12">
        <v>15.6</v>
      </c>
      <c r="X12">
        <v>0.47699999999999998</v>
      </c>
      <c r="Y12">
        <v>0.51</v>
      </c>
      <c r="Z12">
        <v>5.3</v>
      </c>
      <c r="AA12">
        <v>7</v>
      </c>
      <c r="AB12">
        <v>0.755</v>
      </c>
    </row>
    <row r="13" spans="1:28" x14ac:dyDescent="0.25">
      <c r="A13" t="s">
        <v>120</v>
      </c>
      <c r="B13" t="s">
        <v>13</v>
      </c>
      <c r="C13">
        <v>35</v>
      </c>
      <c r="D13" t="s">
        <v>87</v>
      </c>
      <c r="E13">
        <v>6</v>
      </c>
      <c r="F13">
        <v>0</v>
      </c>
      <c r="G13">
        <v>28.3</v>
      </c>
      <c r="H13">
        <v>1.5</v>
      </c>
      <c r="I13">
        <v>4.3</v>
      </c>
      <c r="J13">
        <v>5.8</v>
      </c>
      <c r="K13">
        <v>1.3</v>
      </c>
      <c r="L13">
        <v>0.2</v>
      </c>
      <c r="M13">
        <v>0.8</v>
      </c>
      <c r="N13">
        <v>2.2000000000000002</v>
      </c>
      <c r="O13">
        <v>6.3</v>
      </c>
      <c r="P13">
        <v>2</v>
      </c>
      <c r="Q13">
        <v>4.8</v>
      </c>
      <c r="R13">
        <v>0.41399999999999998</v>
      </c>
      <c r="S13">
        <v>1.5</v>
      </c>
      <c r="T13">
        <v>3.7</v>
      </c>
      <c r="U13">
        <v>0.40899999999999997</v>
      </c>
      <c r="V13">
        <v>0.5</v>
      </c>
      <c r="W13">
        <v>1.2</v>
      </c>
      <c r="X13">
        <v>0.42899999999999999</v>
      </c>
      <c r="Y13">
        <v>0.56899999999999995</v>
      </c>
      <c r="Z13">
        <v>0.8</v>
      </c>
      <c r="AA13">
        <v>1.3</v>
      </c>
      <c r="AB13">
        <v>0.625</v>
      </c>
    </row>
    <row r="14" spans="1:28" x14ac:dyDescent="0.25">
      <c r="A14" t="s">
        <v>60</v>
      </c>
      <c r="B14" t="s">
        <v>35</v>
      </c>
      <c r="C14">
        <v>30</v>
      </c>
      <c r="D14" t="s">
        <v>59</v>
      </c>
      <c r="E14">
        <v>4</v>
      </c>
      <c r="F14">
        <v>4</v>
      </c>
      <c r="G14">
        <v>38.5</v>
      </c>
      <c r="H14">
        <v>1.5</v>
      </c>
      <c r="I14">
        <v>1.3</v>
      </c>
      <c r="J14">
        <v>2.8</v>
      </c>
      <c r="K14">
        <v>4.5</v>
      </c>
      <c r="L14">
        <v>0.8</v>
      </c>
      <c r="M14">
        <v>3.3</v>
      </c>
      <c r="N14">
        <v>3.8</v>
      </c>
      <c r="O14">
        <v>16.5</v>
      </c>
      <c r="P14">
        <v>6.5</v>
      </c>
      <c r="Q14">
        <v>14.8</v>
      </c>
      <c r="R14">
        <v>0.441</v>
      </c>
      <c r="S14">
        <v>2.5</v>
      </c>
      <c r="T14">
        <v>5.8</v>
      </c>
      <c r="U14">
        <v>0.435</v>
      </c>
      <c r="V14">
        <v>4</v>
      </c>
      <c r="W14">
        <v>9</v>
      </c>
      <c r="X14">
        <v>0.44400000000000001</v>
      </c>
      <c r="Y14">
        <v>0.52500000000000002</v>
      </c>
      <c r="Z14">
        <v>1</v>
      </c>
      <c r="AA14">
        <v>1.3</v>
      </c>
      <c r="AB14">
        <v>0.8</v>
      </c>
    </row>
    <row r="15" spans="1:28" x14ac:dyDescent="0.25">
      <c r="A15" t="s">
        <v>61</v>
      </c>
      <c r="B15" t="s">
        <v>35</v>
      </c>
      <c r="C15">
        <v>27</v>
      </c>
      <c r="D15" t="s">
        <v>62</v>
      </c>
      <c r="E15">
        <v>6</v>
      </c>
      <c r="F15">
        <v>2</v>
      </c>
      <c r="G15">
        <v>21.8</v>
      </c>
      <c r="H15">
        <v>0.2</v>
      </c>
      <c r="I15">
        <v>2.2999999999999998</v>
      </c>
      <c r="J15">
        <v>2.5</v>
      </c>
      <c r="K15">
        <v>0.7</v>
      </c>
      <c r="L15">
        <v>0.7</v>
      </c>
      <c r="M15">
        <v>0.5</v>
      </c>
      <c r="N15">
        <v>1.5</v>
      </c>
      <c r="O15">
        <v>8.8000000000000007</v>
      </c>
      <c r="P15">
        <v>3.5</v>
      </c>
      <c r="Q15">
        <v>6.8</v>
      </c>
      <c r="R15">
        <v>0.51200000000000001</v>
      </c>
      <c r="S15">
        <v>1.8</v>
      </c>
      <c r="T15">
        <v>4.2</v>
      </c>
      <c r="U15">
        <v>0.44</v>
      </c>
      <c r="V15">
        <v>1.7</v>
      </c>
      <c r="W15">
        <v>2.7</v>
      </c>
      <c r="X15">
        <v>0.625</v>
      </c>
      <c r="Y15">
        <v>0.64600000000000002</v>
      </c>
      <c r="Z15">
        <v>0</v>
      </c>
      <c r="AA15">
        <v>0</v>
      </c>
      <c r="AB15">
        <v>0</v>
      </c>
    </row>
    <row r="16" spans="1:28" x14ac:dyDescent="0.25">
      <c r="A16" t="s">
        <v>121</v>
      </c>
      <c r="B16" t="s">
        <v>42</v>
      </c>
      <c r="C16">
        <v>23</v>
      </c>
      <c r="D16" t="s">
        <v>62</v>
      </c>
      <c r="E16">
        <v>4</v>
      </c>
      <c r="F16">
        <v>0</v>
      </c>
      <c r="G16">
        <v>2.5</v>
      </c>
      <c r="H16">
        <v>0</v>
      </c>
      <c r="I16">
        <v>0.3</v>
      </c>
      <c r="J16">
        <v>0.3</v>
      </c>
      <c r="K16">
        <v>0.5</v>
      </c>
      <c r="L16">
        <v>0</v>
      </c>
      <c r="M16">
        <v>0.3</v>
      </c>
      <c r="N16">
        <v>0.3</v>
      </c>
      <c r="O16">
        <v>0.8</v>
      </c>
      <c r="P16">
        <v>0.3</v>
      </c>
      <c r="Q16">
        <v>1</v>
      </c>
      <c r="R16">
        <v>0.25</v>
      </c>
      <c r="S16">
        <v>0</v>
      </c>
      <c r="T16">
        <v>0.5</v>
      </c>
      <c r="U16">
        <v>0</v>
      </c>
      <c r="V16">
        <v>0.3</v>
      </c>
      <c r="W16">
        <v>0.5</v>
      </c>
      <c r="X16">
        <v>0.5</v>
      </c>
      <c r="Y16">
        <v>0.25</v>
      </c>
      <c r="Z16">
        <v>0.3</v>
      </c>
      <c r="AA16">
        <v>0.5</v>
      </c>
      <c r="AB16">
        <v>0.5</v>
      </c>
    </row>
    <row r="17" spans="1:28" x14ac:dyDescent="0.25">
      <c r="A17" t="s">
        <v>122</v>
      </c>
      <c r="B17" t="s">
        <v>32</v>
      </c>
      <c r="C17">
        <v>35</v>
      </c>
      <c r="D17" t="s">
        <v>62</v>
      </c>
      <c r="E17">
        <v>6</v>
      </c>
      <c r="F17">
        <v>6</v>
      </c>
      <c r="G17">
        <v>35</v>
      </c>
      <c r="H17">
        <v>0.7</v>
      </c>
      <c r="I17">
        <v>2.7</v>
      </c>
      <c r="J17">
        <v>3.3</v>
      </c>
      <c r="K17">
        <v>5.5</v>
      </c>
      <c r="L17">
        <v>1</v>
      </c>
      <c r="M17">
        <v>1</v>
      </c>
      <c r="N17">
        <v>2.7</v>
      </c>
      <c r="O17">
        <v>8.1999999999999993</v>
      </c>
      <c r="P17">
        <v>2.7</v>
      </c>
      <c r="Q17">
        <v>6.5</v>
      </c>
      <c r="R17">
        <v>0.41</v>
      </c>
      <c r="S17">
        <v>0.7</v>
      </c>
      <c r="T17">
        <v>1.8</v>
      </c>
      <c r="U17">
        <v>0.36399999999999999</v>
      </c>
      <c r="V17">
        <v>2</v>
      </c>
      <c r="W17">
        <v>4.7</v>
      </c>
      <c r="X17">
        <v>0.42899999999999999</v>
      </c>
      <c r="Y17">
        <v>0.46200000000000002</v>
      </c>
      <c r="Z17">
        <v>2.2000000000000002</v>
      </c>
      <c r="AA17">
        <v>2.5</v>
      </c>
      <c r="AB17">
        <v>0.86699999999999999</v>
      </c>
    </row>
    <row r="18" spans="1:28" x14ac:dyDescent="0.25">
      <c r="A18" t="s">
        <v>123</v>
      </c>
      <c r="B18" t="s">
        <v>29</v>
      </c>
      <c r="C18">
        <v>24</v>
      </c>
      <c r="D18" t="s">
        <v>81</v>
      </c>
      <c r="E18">
        <v>2</v>
      </c>
      <c r="F18">
        <v>0</v>
      </c>
      <c r="G18">
        <v>5</v>
      </c>
      <c r="H18">
        <v>0.5</v>
      </c>
      <c r="I18">
        <v>1</v>
      </c>
      <c r="J18">
        <v>1.5</v>
      </c>
      <c r="K18">
        <v>1</v>
      </c>
      <c r="L18">
        <v>0</v>
      </c>
      <c r="M18">
        <v>0.5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  <c r="Z18">
        <v>0</v>
      </c>
      <c r="AA18">
        <v>0</v>
      </c>
      <c r="AB18">
        <v>0</v>
      </c>
    </row>
    <row r="19" spans="1:28" x14ac:dyDescent="0.25">
      <c r="A19" t="s">
        <v>124</v>
      </c>
      <c r="B19" t="s">
        <v>32</v>
      </c>
      <c r="C19">
        <v>20</v>
      </c>
      <c r="D19" t="s">
        <v>81</v>
      </c>
      <c r="E19">
        <v>2</v>
      </c>
      <c r="F19">
        <v>0</v>
      </c>
      <c r="G19">
        <v>5.5</v>
      </c>
      <c r="H19">
        <v>0.5</v>
      </c>
      <c r="I19">
        <v>0.5</v>
      </c>
      <c r="J19">
        <v>1</v>
      </c>
      <c r="K19">
        <v>1</v>
      </c>
      <c r="L19">
        <v>0.5</v>
      </c>
      <c r="M19">
        <v>0.5</v>
      </c>
      <c r="N19">
        <v>0.5</v>
      </c>
      <c r="O19">
        <v>3</v>
      </c>
      <c r="P19">
        <v>1.5</v>
      </c>
      <c r="Q19">
        <v>3.5</v>
      </c>
      <c r="R19">
        <v>0.42899999999999999</v>
      </c>
      <c r="S19">
        <v>0</v>
      </c>
      <c r="T19">
        <v>1</v>
      </c>
      <c r="U19">
        <v>0</v>
      </c>
      <c r="V19">
        <v>1.5</v>
      </c>
      <c r="W19">
        <v>2.5</v>
      </c>
      <c r="X19">
        <v>0.6</v>
      </c>
      <c r="Y19">
        <v>0.42899999999999999</v>
      </c>
      <c r="Z19">
        <v>0</v>
      </c>
      <c r="AA19">
        <v>0</v>
      </c>
      <c r="AB19">
        <v>0</v>
      </c>
    </row>
    <row r="20" spans="1:28" x14ac:dyDescent="0.25">
      <c r="A20" t="s">
        <v>125</v>
      </c>
      <c r="B20" t="s">
        <v>42</v>
      </c>
      <c r="C20">
        <v>34</v>
      </c>
      <c r="D20" t="s">
        <v>71</v>
      </c>
      <c r="E20">
        <v>4</v>
      </c>
      <c r="F20">
        <v>0</v>
      </c>
      <c r="G20">
        <v>12.8</v>
      </c>
      <c r="H20">
        <v>0.3</v>
      </c>
      <c r="I20">
        <v>2.8</v>
      </c>
      <c r="J20">
        <v>3</v>
      </c>
      <c r="K20">
        <v>1</v>
      </c>
      <c r="L20">
        <v>0</v>
      </c>
      <c r="M20">
        <v>0.3</v>
      </c>
      <c r="N20">
        <v>0.8</v>
      </c>
      <c r="O20">
        <v>6</v>
      </c>
      <c r="P20">
        <v>1.8</v>
      </c>
      <c r="Q20">
        <v>6</v>
      </c>
      <c r="R20">
        <v>0.29199999999999998</v>
      </c>
      <c r="S20">
        <v>1.5</v>
      </c>
      <c r="T20">
        <v>3.8</v>
      </c>
      <c r="U20">
        <v>0.4</v>
      </c>
      <c r="V20">
        <v>0.3</v>
      </c>
      <c r="W20">
        <v>2.2999999999999998</v>
      </c>
      <c r="X20">
        <v>0.111</v>
      </c>
      <c r="Y20">
        <v>0.41699999999999998</v>
      </c>
      <c r="Z20">
        <v>1</v>
      </c>
      <c r="AA20">
        <v>1.8</v>
      </c>
      <c r="AB20">
        <v>0.57099999999999995</v>
      </c>
    </row>
    <row r="21" spans="1:28" x14ac:dyDescent="0.25">
      <c r="A21" t="s">
        <v>126</v>
      </c>
      <c r="B21" t="s">
        <v>13</v>
      </c>
      <c r="C21">
        <v>24</v>
      </c>
      <c r="D21" t="s">
        <v>59</v>
      </c>
      <c r="E21">
        <v>3</v>
      </c>
      <c r="F21">
        <v>0</v>
      </c>
      <c r="G21">
        <v>4.3</v>
      </c>
      <c r="H21">
        <v>0</v>
      </c>
      <c r="I21">
        <v>1.3</v>
      </c>
      <c r="J21">
        <v>1.3</v>
      </c>
      <c r="K21">
        <v>0</v>
      </c>
      <c r="L21">
        <v>0.3</v>
      </c>
      <c r="M21">
        <v>0</v>
      </c>
      <c r="N21">
        <v>0.7</v>
      </c>
      <c r="O21">
        <v>0.7</v>
      </c>
      <c r="P21">
        <v>0.3</v>
      </c>
      <c r="Q21">
        <v>1</v>
      </c>
      <c r="R21">
        <v>0.33300000000000002</v>
      </c>
      <c r="S21">
        <v>0</v>
      </c>
      <c r="T21">
        <v>0</v>
      </c>
      <c r="U21">
        <v>0</v>
      </c>
      <c r="V21">
        <v>0.3</v>
      </c>
      <c r="W21">
        <v>1</v>
      </c>
      <c r="X21">
        <v>0.33300000000000002</v>
      </c>
      <c r="Y21">
        <v>0.33300000000000002</v>
      </c>
      <c r="Z21">
        <v>0</v>
      </c>
      <c r="AA21">
        <v>0</v>
      </c>
      <c r="AB21">
        <v>0</v>
      </c>
    </row>
    <row r="22" spans="1:28" x14ac:dyDescent="0.25">
      <c r="A22" t="s">
        <v>127</v>
      </c>
      <c r="B22" t="s">
        <v>32</v>
      </c>
      <c r="C22">
        <v>27</v>
      </c>
      <c r="D22" t="s">
        <v>59</v>
      </c>
      <c r="E22">
        <v>4</v>
      </c>
      <c r="F22">
        <v>4</v>
      </c>
      <c r="G22">
        <v>41.5</v>
      </c>
      <c r="H22">
        <v>0.3</v>
      </c>
      <c r="I22">
        <v>3</v>
      </c>
      <c r="J22">
        <v>3.3</v>
      </c>
      <c r="K22">
        <v>6</v>
      </c>
      <c r="L22">
        <v>1.8</v>
      </c>
      <c r="M22">
        <v>2.8</v>
      </c>
      <c r="N22">
        <v>4.5</v>
      </c>
      <c r="O22">
        <v>27.5</v>
      </c>
      <c r="P22">
        <v>8</v>
      </c>
      <c r="Q22">
        <v>16.3</v>
      </c>
      <c r="R22">
        <v>0.49199999999999999</v>
      </c>
      <c r="S22">
        <v>1.8</v>
      </c>
      <c r="T22">
        <v>5</v>
      </c>
      <c r="U22">
        <v>0.35</v>
      </c>
      <c r="V22">
        <v>6.3</v>
      </c>
      <c r="W22">
        <v>11.3</v>
      </c>
      <c r="X22">
        <v>0.55600000000000005</v>
      </c>
      <c r="Y22">
        <v>0.54600000000000004</v>
      </c>
      <c r="Z22">
        <v>9.8000000000000007</v>
      </c>
      <c r="AA22">
        <v>10.3</v>
      </c>
      <c r="AB22">
        <v>0.95099999999999996</v>
      </c>
    </row>
    <row r="23" spans="1:28" x14ac:dyDescent="0.25">
      <c r="A23" t="s">
        <v>128</v>
      </c>
      <c r="B23" t="s">
        <v>42</v>
      </c>
      <c r="C23">
        <v>22</v>
      </c>
      <c r="D23" t="s">
        <v>95</v>
      </c>
      <c r="E23">
        <v>3</v>
      </c>
      <c r="F23">
        <v>0</v>
      </c>
      <c r="G23">
        <v>3.3</v>
      </c>
      <c r="H23">
        <v>0.3</v>
      </c>
      <c r="I23">
        <v>0.3</v>
      </c>
      <c r="J23">
        <v>0.7</v>
      </c>
      <c r="K23">
        <v>0.3</v>
      </c>
      <c r="L23">
        <v>0</v>
      </c>
      <c r="M23">
        <v>0</v>
      </c>
      <c r="N23">
        <v>0.7</v>
      </c>
      <c r="O23">
        <v>1.7</v>
      </c>
      <c r="P23">
        <v>0.7</v>
      </c>
      <c r="Q23">
        <v>1.3</v>
      </c>
      <c r="R23">
        <v>0.5</v>
      </c>
      <c r="S23">
        <v>0</v>
      </c>
      <c r="T23">
        <v>0</v>
      </c>
      <c r="U23">
        <v>0</v>
      </c>
      <c r="V23">
        <v>0.7</v>
      </c>
      <c r="W23">
        <v>1.3</v>
      </c>
      <c r="X23">
        <v>0.5</v>
      </c>
      <c r="Y23">
        <v>0.5</v>
      </c>
      <c r="Z23">
        <v>0.3</v>
      </c>
      <c r="AA23">
        <v>0.7</v>
      </c>
      <c r="AB23">
        <v>0.5</v>
      </c>
    </row>
    <row r="24" spans="1:28" x14ac:dyDescent="0.25">
      <c r="A24" t="s">
        <v>63</v>
      </c>
      <c r="B24" t="s">
        <v>35</v>
      </c>
      <c r="C24">
        <v>22</v>
      </c>
      <c r="D24" t="s">
        <v>64</v>
      </c>
      <c r="E24">
        <v>12</v>
      </c>
      <c r="F24">
        <v>0</v>
      </c>
      <c r="G24">
        <v>17</v>
      </c>
      <c r="H24">
        <v>0.8</v>
      </c>
      <c r="I24">
        <v>1.9</v>
      </c>
      <c r="J24">
        <v>2.7</v>
      </c>
      <c r="K24">
        <v>0.8</v>
      </c>
      <c r="L24">
        <v>0.2</v>
      </c>
      <c r="M24">
        <v>0.1</v>
      </c>
      <c r="N24">
        <v>1.5</v>
      </c>
      <c r="O24">
        <v>5.0999999999999996</v>
      </c>
      <c r="P24">
        <v>1.9</v>
      </c>
      <c r="Q24">
        <v>4.5</v>
      </c>
      <c r="R24">
        <v>0.42599999999999999</v>
      </c>
      <c r="S24">
        <v>0.3</v>
      </c>
      <c r="T24">
        <v>1.5</v>
      </c>
      <c r="U24">
        <v>0.222</v>
      </c>
      <c r="V24">
        <v>1.6</v>
      </c>
      <c r="W24">
        <v>3</v>
      </c>
      <c r="X24">
        <v>0.52800000000000002</v>
      </c>
      <c r="Y24">
        <v>0.46300000000000002</v>
      </c>
      <c r="Z24">
        <v>0.9</v>
      </c>
      <c r="AA24">
        <v>1.3</v>
      </c>
      <c r="AB24">
        <v>0.68799999999999994</v>
      </c>
    </row>
    <row r="25" spans="1:28" x14ac:dyDescent="0.25">
      <c r="A25" t="s">
        <v>129</v>
      </c>
      <c r="B25" t="s">
        <v>42</v>
      </c>
      <c r="C25">
        <v>25</v>
      </c>
      <c r="D25" t="s">
        <v>107</v>
      </c>
      <c r="E25">
        <v>10</v>
      </c>
      <c r="F25">
        <v>0</v>
      </c>
      <c r="G25">
        <v>5.5</v>
      </c>
      <c r="H25">
        <v>0.3</v>
      </c>
      <c r="I25">
        <v>1.1000000000000001</v>
      </c>
      <c r="J25">
        <v>1.4</v>
      </c>
      <c r="K25">
        <v>0</v>
      </c>
      <c r="L25">
        <v>0.3</v>
      </c>
      <c r="M25">
        <v>0.1</v>
      </c>
      <c r="N25">
        <v>0.2</v>
      </c>
      <c r="O25">
        <v>1.6</v>
      </c>
      <c r="P25">
        <v>0.6</v>
      </c>
      <c r="Q25">
        <v>1.1000000000000001</v>
      </c>
      <c r="R25">
        <v>0.54500000000000004</v>
      </c>
      <c r="S25">
        <v>0.2</v>
      </c>
      <c r="T25">
        <v>0.2</v>
      </c>
      <c r="U25">
        <v>1</v>
      </c>
      <c r="V25">
        <v>0.4</v>
      </c>
      <c r="W25">
        <v>0.9</v>
      </c>
      <c r="X25">
        <v>0.44400000000000001</v>
      </c>
      <c r="Y25">
        <v>0.63600000000000001</v>
      </c>
      <c r="Z25">
        <v>0.2</v>
      </c>
      <c r="AA25">
        <v>0.4</v>
      </c>
      <c r="AB25">
        <v>0.5</v>
      </c>
    </row>
    <row r="26" spans="1:28" x14ac:dyDescent="0.25">
      <c r="A26" t="s">
        <v>130</v>
      </c>
      <c r="B26" t="s">
        <v>42</v>
      </c>
      <c r="C26">
        <v>27</v>
      </c>
      <c r="D26" t="s">
        <v>107</v>
      </c>
      <c r="E26">
        <v>19</v>
      </c>
      <c r="F26">
        <v>19</v>
      </c>
      <c r="G26">
        <v>37.200000000000003</v>
      </c>
      <c r="H26">
        <v>1.2</v>
      </c>
      <c r="I26">
        <v>4.8</v>
      </c>
      <c r="J26">
        <v>5.9</v>
      </c>
      <c r="K26">
        <v>3.3</v>
      </c>
      <c r="L26">
        <v>1.2</v>
      </c>
      <c r="M26">
        <v>2.7</v>
      </c>
      <c r="N26">
        <v>2.7</v>
      </c>
      <c r="O26">
        <v>23.9</v>
      </c>
      <c r="P26">
        <v>9.1999999999999993</v>
      </c>
      <c r="Q26">
        <v>17.8</v>
      </c>
      <c r="R26">
        <v>0.51600000000000001</v>
      </c>
      <c r="S26">
        <v>1.9</v>
      </c>
      <c r="T26">
        <v>5.8</v>
      </c>
      <c r="U26">
        <v>0.32700000000000001</v>
      </c>
      <c r="V26">
        <v>7.3</v>
      </c>
      <c r="W26">
        <v>12.1</v>
      </c>
      <c r="X26">
        <v>0.60699999999999998</v>
      </c>
      <c r="Y26">
        <v>0.56899999999999995</v>
      </c>
      <c r="Z26">
        <v>3.6</v>
      </c>
      <c r="AA26">
        <v>5.4</v>
      </c>
      <c r="AB26">
        <v>0.66</v>
      </c>
    </row>
    <row r="27" spans="1:28" x14ac:dyDescent="0.25">
      <c r="A27" t="s">
        <v>65</v>
      </c>
      <c r="B27" t="s">
        <v>35</v>
      </c>
      <c r="C27">
        <v>20</v>
      </c>
      <c r="D27" t="s">
        <v>66</v>
      </c>
      <c r="E27">
        <v>7</v>
      </c>
      <c r="F27">
        <v>0</v>
      </c>
      <c r="G27">
        <v>3.6</v>
      </c>
      <c r="H27">
        <v>0</v>
      </c>
      <c r="I27">
        <v>0.4</v>
      </c>
      <c r="J27">
        <v>0.4</v>
      </c>
      <c r="K27">
        <v>0.3</v>
      </c>
      <c r="L27">
        <v>0</v>
      </c>
      <c r="M27">
        <v>0.4</v>
      </c>
      <c r="N27">
        <v>0.3</v>
      </c>
      <c r="O27">
        <v>0.6</v>
      </c>
      <c r="P27">
        <v>0.3</v>
      </c>
      <c r="Q27">
        <v>0.9</v>
      </c>
      <c r="R27">
        <v>0.33300000000000002</v>
      </c>
      <c r="S27">
        <v>0</v>
      </c>
      <c r="T27">
        <v>0</v>
      </c>
      <c r="U27">
        <v>0</v>
      </c>
      <c r="V27">
        <v>0.3</v>
      </c>
      <c r="W27">
        <v>0.9</v>
      </c>
      <c r="X27">
        <v>0.33300000000000002</v>
      </c>
      <c r="Y27">
        <v>0.33300000000000002</v>
      </c>
      <c r="Z27">
        <v>0</v>
      </c>
      <c r="AA27">
        <v>0</v>
      </c>
      <c r="AB27">
        <v>0</v>
      </c>
    </row>
    <row r="28" spans="1:28" x14ac:dyDescent="0.25">
      <c r="A28" t="s">
        <v>131</v>
      </c>
      <c r="B28" t="s">
        <v>13</v>
      </c>
      <c r="C28">
        <v>24</v>
      </c>
      <c r="D28" t="s">
        <v>95</v>
      </c>
      <c r="E28">
        <v>3</v>
      </c>
      <c r="F28">
        <v>0</v>
      </c>
      <c r="G28">
        <v>3.3</v>
      </c>
      <c r="H28">
        <v>0.3</v>
      </c>
      <c r="I28">
        <v>0.3</v>
      </c>
      <c r="J28">
        <v>0.7</v>
      </c>
      <c r="K28">
        <v>0</v>
      </c>
      <c r="L28">
        <v>0</v>
      </c>
      <c r="M28">
        <v>0</v>
      </c>
      <c r="N28">
        <v>0.3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</row>
    <row r="29" spans="1:28" x14ac:dyDescent="0.25">
      <c r="A29" t="s">
        <v>132</v>
      </c>
      <c r="B29" t="s">
        <v>32</v>
      </c>
      <c r="C29">
        <v>27</v>
      </c>
      <c r="D29" t="s">
        <v>71</v>
      </c>
      <c r="E29">
        <v>13</v>
      </c>
      <c r="F29">
        <v>13</v>
      </c>
      <c r="G29">
        <v>39.799999999999997</v>
      </c>
      <c r="H29">
        <v>0.6</v>
      </c>
      <c r="I29">
        <v>2.7</v>
      </c>
      <c r="J29">
        <v>3.3</v>
      </c>
      <c r="K29">
        <v>7.5</v>
      </c>
      <c r="L29">
        <v>0.8</v>
      </c>
      <c r="M29">
        <v>2.7</v>
      </c>
      <c r="N29">
        <v>2</v>
      </c>
      <c r="O29">
        <v>32.4</v>
      </c>
      <c r="P29">
        <v>11.6</v>
      </c>
      <c r="Q29">
        <v>26.2</v>
      </c>
      <c r="R29">
        <v>0.44400000000000001</v>
      </c>
      <c r="S29">
        <v>2</v>
      </c>
      <c r="T29">
        <v>6.5</v>
      </c>
      <c r="U29">
        <v>0.31</v>
      </c>
      <c r="V29">
        <v>9.6</v>
      </c>
      <c r="W29">
        <v>19.7</v>
      </c>
      <c r="X29">
        <v>0.48799999999999999</v>
      </c>
      <c r="Y29">
        <v>0.48199999999999998</v>
      </c>
      <c r="Z29">
        <v>7.2</v>
      </c>
      <c r="AA29">
        <v>9.1999999999999993</v>
      </c>
      <c r="AB29">
        <v>0.77500000000000002</v>
      </c>
    </row>
    <row r="30" spans="1:28" x14ac:dyDescent="0.25">
      <c r="A30" t="s">
        <v>133</v>
      </c>
      <c r="B30" t="s">
        <v>29</v>
      </c>
      <c r="C30">
        <v>26</v>
      </c>
      <c r="D30" t="s">
        <v>85</v>
      </c>
      <c r="E30">
        <v>2</v>
      </c>
      <c r="F30">
        <v>0</v>
      </c>
      <c r="G30">
        <v>9</v>
      </c>
      <c r="H30">
        <v>1</v>
      </c>
      <c r="I30">
        <v>1.5</v>
      </c>
      <c r="J30">
        <v>2.5</v>
      </c>
      <c r="K30">
        <v>0.5</v>
      </c>
      <c r="L30">
        <v>0</v>
      </c>
      <c r="M30">
        <v>1</v>
      </c>
      <c r="N30">
        <v>0.5</v>
      </c>
      <c r="O30">
        <v>6</v>
      </c>
      <c r="P30">
        <v>2.5</v>
      </c>
      <c r="Q30">
        <v>3.5</v>
      </c>
      <c r="R30">
        <v>0.71399999999999997</v>
      </c>
      <c r="S30">
        <v>0</v>
      </c>
      <c r="T30">
        <v>1</v>
      </c>
      <c r="U30">
        <v>0</v>
      </c>
      <c r="V30">
        <v>2.5</v>
      </c>
      <c r="W30">
        <v>2.5</v>
      </c>
      <c r="X30">
        <v>1</v>
      </c>
      <c r="Y30">
        <v>0.71399999999999997</v>
      </c>
      <c r="Z30">
        <v>1</v>
      </c>
      <c r="AA30">
        <v>1.5</v>
      </c>
      <c r="AB30">
        <v>0.66700000000000004</v>
      </c>
    </row>
    <row r="31" spans="1:28" x14ac:dyDescent="0.25">
      <c r="A31" t="s">
        <v>67</v>
      </c>
      <c r="B31" t="s">
        <v>35</v>
      </c>
      <c r="C31">
        <v>32</v>
      </c>
      <c r="D31" t="s">
        <v>68</v>
      </c>
      <c r="E31">
        <v>6</v>
      </c>
      <c r="F31">
        <v>0</v>
      </c>
      <c r="G31">
        <v>20.2</v>
      </c>
      <c r="H31">
        <v>0.7</v>
      </c>
      <c r="I31">
        <v>2.7</v>
      </c>
      <c r="J31">
        <v>3.3</v>
      </c>
      <c r="K31">
        <v>1</v>
      </c>
      <c r="L31">
        <v>0.2</v>
      </c>
      <c r="M31">
        <v>0</v>
      </c>
      <c r="N31">
        <v>1</v>
      </c>
      <c r="O31">
        <v>14.8</v>
      </c>
      <c r="P31">
        <v>4.2</v>
      </c>
      <c r="Q31">
        <v>8.3000000000000007</v>
      </c>
      <c r="R31">
        <v>0.5</v>
      </c>
      <c r="S31">
        <v>2</v>
      </c>
      <c r="T31">
        <v>4.7</v>
      </c>
      <c r="U31">
        <v>0.42899999999999999</v>
      </c>
      <c r="V31">
        <v>2.2000000000000002</v>
      </c>
      <c r="W31">
        <v>3.7</v>
      </c>
      <c r="X31">
        <v>0.59099999999999997</v>
      </c>
      <c r="Y31">
        <v>0.62</v>
      </c>
      <c r="Z31">
        <v>4.5</v>
      </c>
      <c r="AA31">
        <v>5.3</v>
      </c>
      <c r="AB31">
        <v>0.84399999999999997</v>
      </c>
    </row>
    <row r="32" spans="1:28" x14ac:dyDescent="0.25">
      <c r="A32" t="s">
        <v>69</v>
      </c>
      <c r="B32" t="s">
        <v>35</v>
      </c>
      <c r="C32">
        <v>30</v>
      </c>
      <c r="D32" t="s">
        <v>64</v>
      </c>
      <c r="E32">
        <v>12</v>
      </c>
      <c r="F32">
        <v>12</v>
      </c>
      <c r="G32">
        <v>35</v>
      </c>
      <c r="H32">
        <v>0.4</v>
      </c>
      <c r="I32">
        <v>2.5</v>
      </c>
      <c r="J32">
        <v>2.9</v>
      </c>
      <c r="K32">
        <v>2.6</v>
      </c>
      <c r="L32">
        <v>1.4</v>
      </c>
      <c r="M32">
        <v>0.8</v>
      </c>
      <c r="N32">
        <v>3.1</v>
      </c>
      <c r="O32">
        <v>8.1</v>
      </c>
      <c r="P32">
        <v>2.8</v>
      </c>
      <c r="Q32">
        <v>7.2</v>
      </c>
      <c r="R32">
        <v>0.39500000000000002</v>
      </c>
      <c r="S32">
        <v>1.5</v>
      </c>
      <c r="T32">
        <v>4.5999999999999996</v>
      </c>
      <c r="U32">
        <v>0.32700000000000001</v>
      </c>
      <c r="V32">
        <v>1.3</v>
      </c>
      <c r="W32">
        <v>2.6</v>
      </c>
      <c r="X32">
        <v>0.51600000000000001</v>
      </c>
      <c r="Y32">
        <v>0.5</v>
      </c>
      <c r="Z32">
        <v>0.9</v>
      </c>
      <c r="AA32">
        <v>0.9</v>
      </c>
      <c r="AB32">
        <v>1</v>
      </c>
    </row>
    <row r="33" spans="1:28" x14ac:dyDescent="0.25">
      <c r="A33" t="s">
        <v>134</v>
      </c>
      <c r="B33" t="s">
        <v>29</v>
      </c>
      <c r="C33">
        <v>24</v>
      </c>
      <c r="D33" t="s">
        <v>81</v>
      </c>
      <c r="E33">
        <v>7</v>
      </c>
      <c r="F33">
        <v>5</v>
      </c>
      <c r="G33">
        <v>26.4</v>
      </c>
      <c r="H33">
        <v>1.3</v>
      </c>
      <c r="I33">
        <v>5</v>
      </c>
      <c r="J33">
        <v>6.3</v>
      </c>
      <c r="K33">
        <v>1.3</v>
      </c>
      <c r="L33">
        <v>0.7</v>
      </c>
      <c r="M33">
        <v>0.7</v>
      </c>
      <c r="N33">
        <v>2.9</v>
      </c>
      <c r="O33">
        <v>7.6</v>
      </c>
      <c r="P33">
        <v>2.7</v>
      </c>
      <c r="Q33">
        <v>6.7</v>
      </c>
      <c r="R33">
        <v>0.40400000000000003</v>
      </c>
      <c r="S33">
        <v>1</v>
      </c>
      <c r="T33">
        <v>3.6</v>
      </c>
      <c r="U33">
        <v>0.28000000000000003</v>
      </c>
      <c r="V33">
        <v>1.7</v>
      </c>
      <c r="W33">
        <v>3.1</v>
      </c>
      <c r="X33">
        <v>0.54500000000000004</v>
      </c>
      <c r="Y33">
        <v>0.47899999999999998</v>
      </c>
      <c r="Z33">
        <v>1.1000000000000001</v>
      </c>
      <c r="AA33">
        <v>1.6</v>
      </c>
      <c r="AB33">
        <v>0.72699999999999998</v>
      </c>
    </row>
    <row r="34" spans="1:28" x14ac:dyDescent="0.25">
      <c r="A34" t="s">
        <v>135</v>
      </c>
      <c r="B34" t="s">
        <v>42</v>
      </c>
      <c r="C34">
        <v>26</v>
      </c>
      <c r="D34" t="s">
        <v>95</v>
      </c>
      <c r="E34">
        <v>6</v>
      </c>
      <c r="F34">
        <v>3</v>
      </c>
      <c r="G34">
        <v>18.7</v>
      </c>
      <c r="H34">
        <v>0.3</v>
      </c>
      <c r="I34">
        <v>1.3</v>
      </c>
      <c r="J34">
        <v>1.7</v>
      </c>
      <c r="K34">
        <v>0.3</v>
      </c>
      <c r="L34">
        <v>0.3</v>
      </c>
      <c r="M34">
        <v>0.8</v>
      </c>
      <c r="N34">
        <v>1</v>
      </c>
      <c r="O34">
        <v>2.8</v>
      </c>
      <c r="P34">
        <v>1.2</v>
      </c>
      <c r="Q34">
        <v>3.7</v>
      </c>
      <c r="R34">
        <v>0.318</v>
      </c>
      <c r="S34">
        <v>0.5</v>
      </c>
      <c r="T34">
        <v>1.8</v>
      </c>
      <c r="U34">
        <v>0.27300000000000002</v>
      </c>
      <c r="V34">
        <v>0.7</v>
      </c>
      <c r="W34">
        <v>1.8</v>
      </c>
      <c r="X34">
        <v>0.36399999999999999</v>
      </c>
      <c r="Y34">
        <v>0.38600000000000001</v>
      </c>
      <c r="Z34">
        <v>0</v>
      </c>
      <c r="AA34">
        <v>0</v>
      </c>
      <c r="AB34">
        <v>0</v>
      </c>
    </row>
    <row r="35" spans="1:28" x14ac:dyDescent="0.25">
      <c r="A35" t="s">
        <v>136</v>
      </c>
      <c r="B35" t="s">
        <v>32</v>
      </c>
      <c r="C35">
        <v>36</v>
      </c>
      <c r="D35" t="s">
        <v>57</v>
      </c>
      <c r="E35">
        <v>15</v>
      </c>
      <c r="F35">
        <v>15</v>
      </c>
      <c r="G35">
        <v>31.6</v>
      </c>
      <c r="H35">
        <v>0.7</v>
      </c>
      <c r="I35">
        <v>3.2</v>
      </c>
      <c r="J35">
        <v>3.9</v>
      </c>
      <c r="K35">
        <v>5.7</v>
      </c>
      <c r="L35">
        <v>1.4</v>
      </c>
      <c r="M35">
        <v>1.3</v>
      </c>
      <c r="N35">
        <v>2.5</v>
      </c>
      <c r="O35">
        <v>11.6</v>
      </c>
      <c r="P35">
        <v>4.0999999999999996</v>
      </c>
      <c r="Q35">
        <v>9.6999999999999993</v>
      </c>
      <c r="R35">
        <v>0.42799999999999999</v>
      </c>
      <c r="S35">
        <v>2</v>
      </c>
      <c r="T35">
        <v>5.0999999999999996</v>
      </c>
      <c r="U35">
        <v>0.39500000000000002</v>
      </c>
      <c r="V35">
        <v>2.1</v>
      </c>
      <c r="W35">
        <v>4.5999999999999996</v>
      </c>
      <c r="X35">
        <v>0.46400000000000002</v>
      </c>
      <c r="Y35">
        <v>0.53100000000000003</v>
      </c>
      <c r="Z35">
        <v>1.3</v>
      </c>
      <c r="AA35">
        <v>1.9</v>
      </c>
      <c r="AB35">
        <v>0.71399999999999997</v>
      </c>
    </row>
    <row r="36" spans="1:28" x14ac:dyDescent="0.25">
      <c r="A36" t="s">
        <v>137</v>
      </c>
      <c r="B36" t="s">
        <v>42</v>
      </c>
      <c r="C36">
        <v>31</v>
      </c>
      <c r="D36" t="s">
        <v>62</v>
      </c>
      <c r="E36">
        <v>6</v>
      </c>
      <c r="F36">
        <v>0</v>
      </c>
      <c r="G36">
        <v>20.7</v>
      </c>
      <c r="H36">
        <v>0.5</v>
      </c>
      <c r="I36">
        <v>3.3</v>
      </c>
      <c r="J36">
        <v>3.8</v>
      </c>
      <c r="K36">
        <v>2.2000000000000002</v>
      </c>
      <c r="L36">
        <v>1</v>
      </c>
      <c r="M36">
        <v>0.5</v>
      </c>
      <c r="N36">
        <v>1</v>
      </c>
      <c r="O36">
        <v>4.5</v>
      </c>
      <c r="P36">
        <v>1.8</v>
      </c>
      <c r="Q36">
        <v>4.2</v>
      </c>
      <c r="R36">
        <v>0.44</v>
      </c>
      <c r="S36">
        <v>0.5</v>
      </c>
      <c r="T36">
        <v>1.8</v>
      </c>
      <c r="U36">
        <v>0.27300000000000002</v>
      </c>
      <c r="V36">
        <v>1.3</v>
      </c>
      <c r="W36">
        <v>2.2999999999999998</v>
      </c>
      <c r="X36">
        <v>0.57099999999999995</v>
      </c>
      <c r="Y36">
        <v>0.5</v>
      </c>
      <c r="Z36">
        <v>0.3</v>
      </c>
      <c r="AA36">
        <v>0.3</v>
      </c>
      <c r="AB36">
        <v>1</v>
      </c>
    </row>
    <row r="37" spans="1:28" x14ac:dyDescent="0.25">
      <c r="A37" t="s">
        <v>138</v>
      </c>
      <c r="B37" t="s">
        <v>13</v>
      </c>
      <c r="C37">
        <v>33</v>
      </c>
      <c r="D37" t="s">
        <v>62</v>
      </c>
      <c r="E37">
        <v>4</v>
      </c>
      <c r="F37">
        <v>0</v>
      </c>
      <c r="G37">
        <v>10.5</v>
      </c>
      <c r="H37">
        <v>0.5</v>
      </c>
      <c r="I37">
        <v>1</v>
      </c>
      <c r="J37">
        <v>1.5</v>
      </c>
      <c r="K37">
        <v>0.5</v>
      </c>
      <c r="L37">
        <v>0</v>
      </c>
      <c r="M37">
        <v>0</v>
      </c>
      <c r="N37">
        <v>1</v>
      </c>
      <c r="O37">
        <v>2.2999999999999998</v>
      </c>
      <c r="P37">
        <v>0.8</v>
      </c>
      <c r="Q37">
        <v>3</v>
      </c>
      <c r="R37">
        <v>0.25</v>
      </c>
      <c r="S37">
        <v>0.3</v>
      </c>
      <c r="T37">
        <v>1.8</v>
      </c>
      <c r="U37">
        <v>0.14299999999999999</v>
      </c>
      <c r="V37">
        <v>0.5</v>
      </c>
      <c r="W37">
        <v>1.3</v>
      </c>
      <c r="X37">
        <v>0.4</v>
      </c>
      <c r="Y37">
        <v>0.29199999999999998</v>
      </c>
      <c r="Z37">
        <v>0.5</v>
      </c>
      <c r="AA37">
        <v>0.5</v>
      </c>
      <c r="AB37">
        <v>1</v>
      </c>
    </row>
    <row r="38" spans="1:28" x14ac:dyDescent="0.25">
      <c r="A38" t="s">
        <v>139</v>
      </c>
      <c r="B38" t="s">
        <v>32</v>
      </c>
      <c r="C38">
        <v>20</v>
      </c>
      <c r="D38" t="s">
        <v>83</v>
      </c>
      <c r="E38">
        <v>3</v>
      </c>
      <c r="F38">
        <v>0</v>
      </c>
      <c r="G38">
        <v>5.7</v>
      </c>
      <c r="H38">
        <v>0</v>
      </c>
      <c r="I38">
        <v>0.7</v>
      </c>
      <c r="J38">
        <v>0.7</v>
      </c>
      <c r="K38">
        <v>0</v>
      </c>
      <c r="L38">
        <v>0.7</v>
      </c>
      <c r="M38">
        <v>0.3</v>
      </c>
      <c r="N38">
        <v>0</v>
      </c>
      <c r="O38">
        <v>1.3</v>
      </c>
      <c r="P38">
        <v>0.7</v>
      </c>
      <c r="Q38">
        <v>2</v>
      </c>
      <c r="R38">
        <v>0.33300000000000002</v>
      </c>
      <c r="S38">
        <v>0</v>
      </c>
      <c r="T38">
        <v>0.7</v>
      </c>
      <c r="U38">
        <v>0</v>
      </c>
      <c r="V38">
        <v>0.7</v>
      </c>
      <c r="W38">
        <v>1.3</v>
      </c>
      <c r="X38">
        <v>0.5</v>
      </c>
      <c r="Y38">
        <v>0.33300000000000002</v>
      </c>
      <c r="Z38">
        <v>0</v>
      </c>
      <c r="AA38">
        <v>0</v>
      </c>
      <c r="AB38">
        <v>0</v>
      </c>
    </row>
    <row r="39" spans="1:28" x14ac:dyDescent="0.25">
      <c r="A39" t="s">
        <v>46</v>
      </c>
      <c r="B39" t="s">
        <v>29</v>
      </c>
      <c r="C39">
        <v>30</v>
      </c>
      <c r="D39" t="s">
        <v>47</v>
      </c>
      <c r="E39">
        <v>5</v>
      </c>
      <c r="F39">
        <v>5</v>
      </c>
      <c r="G39">
        <v>41.6</v>
      </c>
      <c r="H39">
        <v>3</v>
      </c>
      <c r="I39">
        <v>12.6</v>
      </c>
      <c r="J39">
        <v>15.6</v>
      </c>
      <c r="K39">
        <v>4</v>
      </c>
      <c r="L39">
        <v>0.4</v>
      </c>
      <c r="M39">
        <v>2.2000000000000002</v>
      </c>
      <c r="N39">
        <v>3.8</v>
      </c>
      <c r="O39">
        <v>27.8</v>
      </c>
      <c r="P39">
        <v>11.8</v>
      </c>
      <c r="Q39">
        <v>18.600000000000001</v>
      </c>
      <c r="R39">
        <v>0.63400000000000001</v>
      </c>
      <c r="S39">
        <v>0</v>
      </c>
      <c r="T39">
        <v>1</v>
      </c>
      <c r="U39">
        <v>0</v>
      </c>
      <c r="V39">
        <v>11.8</v>
      </c>
      <c r="W39">
        <v>17.600000000000001</v>
      </c>
      <c r="X39">
        <v>0.67</v>
      </c>
      <c r="Y39">
        <v>0.63400000000000001</v>
      </c>
      <c r="Z39">
        <v>4.2</v>
      </c>
      <c r="AA39">
        <v>5.2</v>
      </c>
      <c r="AB39">
        <v>0.80800000000000005</v>
      </c>
    </row>
    <row r="40" spans="1:28" x14ac:dyDescent="0.25">
      <c r="A40" t="s">
        <v>140</v>
      </c>
      <c r="B40" t="s">
        <v>13</v>
      </c>
      <c r="C40">
        <v>27</v>
      </c>
      <c r="D40" t="s">
        <v>71</v>
      </c>
      <c r="E40">
        <v>4</v>
      </c>
      <c r="F40">
        <v>0</v>
      </c>
      <c r="G40">
        <v>3.8</v>
      </c>
      <c r="H40">
        <v>0</v>
      </c>
      <c r="I40">
        <v>0.8</v>
      </c>
      <c r="J40">
        <v>0.8</v>
      </c>
      <c r="K40">
        <v>0.3</v>
      </c>
      <c r="L40">
        <v>0.3</v>
      </c>
      <c r="M40">
        <v>0.3</v>
      </c>
      <c r="N40">
        <v>0.8</v>
      </c>
      <c r="O40">
        <v>0.5</v>
      </c>
      <c r="P40">
        <v>0</v>
      </c>
      <c r="Q40">
        <v>0.8</v>
      </c>
      <c r="R40">
        <v>0</v>
      </c>
      <c r="S40">
        <v>0</v>
      </c>
      <c r="T40">
        <v>0.5</v>
      </c>
      <c r="U40">
        <v>0</v>
      </c>
      <c r="V40">
        <v>0</v>
      </c>
      <c r="W40">
        <v>0.3</v>
      </c>
      <c r="X40">
        <v>0</v>
      </c>
      <c r="Y40">
        <v>0</v>
      </c>
      <c r="Z40">
        <v>0.5</v>
      </c>
      <c r="AA40">
        <v>0.5</v>
      </c>
      <c r="AB40">
        <v>1</v>
      </c>
    </row>
    <row r="41" spans="1:28" x14ac:dyDescent="0.25">
      <c r="A41" t="s">
        <v>141</v>
      </c>
      <c r="B41" t="s">
        <v>13</v>
      </c>
      <c r="C41">
        <v>20</v>
      </c>
      <c r="D41" t="s">
        <v>74</v>
      </c>
      <c r="E41">
        <v>4</v>
      </c>
      <c r="F41">
        <v>0</v>
      </c>
      <c r="G41">
        <v>1.8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0.5</v>
      </c>
      <c r="P41">
        <v>0.3</v>
      </c>
      <c r="Q41">
        <v>0.5</v>
      </c>
      <c r="R41">
        <v>0.5</v>
      </c>
      <c r="S41">
        <v>0</v>
      </c>
      <c r="T41">
        <v>0.3</v>
      </c>
      <c r="U41">
        <v>0</v>
      </c>
      <c r="V41">
        <v>0.3</v>
      </c>
      <c r="W41">
        <v>0.3</v>
      </c>
      <c r="X41">
        <v>1</v>
      </c>
      <c r="Y41">
        <v>0.5</v>
      </c>
      <c r="Z41">
        <v>0</v>
      </c>
      <c r="AA41">
        <v>0</v>
      </c>
      <c r="AB41">
        <v>0</v>
      </c>
    </row>
    <row r="42" spans="1:28" x14ac:dyDescent="0.25">
      <c r="A42" t="s">
        <v>48</v>
      </c>
      <c r="B42" t="s">
        <v>32</v>
      </c>
      <c r="C42">
        <v>30</v>
      </c>
      <c r="D42" t="s">
        <v>47</v>
      </c>
      <c r="E42">
        <v>5</v>
      </c>
      <c r="F42">
        <v>0</v>
      </c>
      <c r="G42">
        <v>14.6</v>
      </c>
      <c r="H42">
        <v>0.2</v>
      </c>
      <c r="I42">
        <v>1.2</v>
      </c>
      <c r="J42">
        <v>1.4</v>
      </c>
      <c r="K42">
        <v>1.6</v>
      </c>
      <c r="L42">
        <v>0.4</v>
      </c>
      <c r="M42">
        <v>0.2</v>
      </c>
      <c r="N42">
        <v>1.4</v>
      </c>
      <c r="O42">
        <v>3</v>
      </c>
      <c r="P42">
        <v>1</v>
      </c>
      <c r="Q42">
        <v>2.8</v>
      </c>
      <c r="R42">
        <v>0.35699999999999998</v>
      </c>
      <c r="S42">
        <v>0.4</v>
      </c>
      <c r="T42">
        <v>1.6</v>
      </c>
      <c r="U42">
        <v>0.25</v>
      </c>
      <c r="V42">
        <v>0.6</v>
      </c>
      <c r="W42">
        <v>1.2</v>
      </c>
      <c r="X42">
        <v>0.5</v>
      </c>
      <c r="Y42">
        <v>0.42899999999999999</v>
      </c>
      <c r="Z42">
        <v>0.6</v>
      </c>
      <c r="AA42">
        <v>1.2</v>
      </c>
      <c r="AB42">
        <v>0.5</v>
      </c>
    </row>
    <row r="43" spans="1:28" x14ac:dyDescent="0.25">
      <c r="A43" t="s">
        <v>70</v>
      </c>
      <c r="B43" t="s">
        <v>35</v>
      </c>
      <c r="C43">
        <v>27</v>
      </c>
      <c r="D43" t="s">
        <v>71</v>
      </c>
      <c r="E43">
        <v>13</v>
      </c>
      <c r="F43">
        <v>13</v>
      </c>
      <c r="G43">
        <v>35.799999999999997</v>
      </c>
      <c r="H43">
        <v>1</v>
      </c>
      <c r="I43">
        <v>3</v>
      </c>
      <c r="J43">
        <v>4</v>
      </c>
      <c r="K43">
        <v>2.6</v>
      </c>
      <c r="L43">
        <v>1.2</v>
      </c>
      <c r="M43">
        <v>1.2</v>
      </c>
      <c r="N43">
        <v>2.2000000000000002</v>
      </c>
      <c r="O43">
        <v>17.8</v>
      </c>
      <c r="P43">
        <v>6.2</v>
      </c>
      <c r="Q43">
        <v>14.7</v>
      </c>
      <c r="R43">
        <v>0.41899999999999998</v>
      </c>
      <c r="S43">
        <v>3.5</v>
      </c>
      <c r="T43">
        <v>8.1999999999999993</v>
      </c>
      <c r="U43">
        <v>0.42499999999999999</v>
      </c>
      <c r="V43">
        <v>2.7</v>
      </c>
      <c r="W43">
        <v>6.5</v>
      </c>
      <c r="X43">
        <v>0.41199999999999998</v>
      </c>
      <c r="Y43">
        <v>0.53700000000000003</v>
      </c>
      <c r="Z43">
        <v>2</v>
      </c>
      <c r="AA43">
        <v>2.2999999999999998</v>
      </c>
      <c r="AB43">
        <v>0.86699999999999999</v>
      </c>
    </row>
    <row r="44" spans="1:28" x14ac:dyDescent="0.25">
      <c r="A44" t="s">
        <v>142</v>
      </c>
      <c r="B44" t="s">
        <v>32</v>
      </c>
      <c r="C44">
        <v>24</v>
      </c>
      <c r="D44" t="s">
        <v>78</v>
      </c>
      <c r="E44">
        <v>22</v>
      </c>
      <c r="F44">
        <v>22</v>
      </c>
      <c r="G44">
        <v>40.9</v>
      </c>
      <c r="H44">
        <v>0.7</v>
      </c>
      <c r="I44">
        <v>8.6999999999999993</v>
      </c>
      <c r="J44">
        <v>9.5</v>
      </c>
      <c r="K44">
        <v>8.1</v>
      </c>
      <c r="L44">
        <v>1.9</v>
      </c>
      <c r="M44">
        <v>4.0999999999999996</v>
      </c>
      <c r="N44">
        <v>2.5</v>
      </c>
      <c r="O44">
        <v>28.9</v>
      </c>
      <c r="P44">
        <v>10.199999999999999</v>
      </c>
      <c r="Q44">
        <v>22.9</v>
      </c>
      <c r="R44">
        <v>0.44600000000000001</v>
      </c>
      <c r="S44">
        <v>3.1</v>
      </c>
      <c r="T44">
        <v>9.6</v>
      </c>
      <c r="U44">
        <v>0.32200000000000001</v>
      </c>
      <c r="V44">
        <v>7.1</v>
      </c>
      <c r="W44">
        <v>13.3</v>
      </c>
      <c r="X44">
        <v>0.53600000000000003</v>
      </c>
      <c r="Y44">
        <v>0.51400000000000001</v>
      </c>
      <c r="Z44">
        <v>5.3</v>
      </c>
      <c r="AA44">
        <v>7</v>
      </c>
      <c r="AB44">
        <v>0.76500000000000001</v>
      </c>
    </row>
    <row r="45" spans="1:28" x14ac:dyDescent="0.25">
      <c r="A45" t="s">
        <v>143</v>
      </c>
      <c r="B45" t="s">
        <v>42</v>
      </c>
      <c r="C45">
        <v>24</v>
      </c>
      <c r="D45" t="s">
        <v>74</v>
      </c>
      <c r="E45">
        <v>10</v>
      </c>
      <c r="F45">
        <v>10</v>
      </c>
      <c r="G45">
        <v>35</v>
      </c>
      <c r="H45">
        <v>1.9</v>
      </c>
      <c r="I45">
        <v>2.7</v>
      </c>
      <c r="J45">
        <v>4.5999999999999996</v>
      </c>
      <c r="K45">
        <v>2</v>
      </c>
      <c r="L45">
        <v>1.3</v>
      </c>
      <c r="M45">
        <v>1.1000000000000001</v>
      </c>
      <c r="N45">
        <v>4.2</v>
      </c>
      <c r="O45">
        <v>10.7</v>
      </c>
      <c r="P45">
        <v>3.3</v>
      </c>
      <c r="Q45">
        <v>9.1</v>
      </c>
      <c r="R45">
        <v>0.36299999999999999</v>
      </c>
      <c r="S45">
        <v>2.5</v>
      </c>
      <c r="T45">
        <v>6.4</v>
      </c>
      <c r="U45">
        <v>0.39100000000000001</v>
      </c>
      <c r="V45">
        <v>0.8</v>
      </c>
      <c r="W45">
        <v>2.7</v>
      </c>
      <c r="X45">
        <v>0.29599999999999999</v>
      </c>
      <c r="Y45">
        <v>0.5</v>
      </c>
      <c r="Z45">
        <v>1.6</v>
      </c>
      <c r="AA45">
        <v>1.9</v>
      </c>
      <c r="AB45">
        <v>0.84199999999999997</v>
      </c>
    </row>
    <row r="46" spans="1:28" x14ac:dyDescent="0.25">
      <c r="A46" t="s">
        <v>144</v>
      </c>
      <c r="B46" t="s">
        <v>13</v>
      </c>
      <c r="C46">
        <v>35</v>
      </c>
      <c r="D46" t="s">
        <v>59</v>
      </c>
      <c r="E46">
        <v>4</v>
      </c>
      <c r="F46">
        <v>4</v>
      </c>
      <c r="G46">
        <v>42</v>
      </c>
      <c r="H46">
        <v>0.3</v>
      </c>
      <c r="I46">
        <v>6.3</v>
      </c>
      <c r="J46">
        <v>6.5</v>
      </c>
      <c r="K46">
        <v>3.3</v>
      </c>
      <c r="L46">
        <v>0.5</v>
      </c>
      <c r="M46">
        <v>2.5</v>
      </c>
      <c r="N46">
        <v>2</v>
      </c>
      <c r="O46">
        <v>26.8</v>
      </c>
      <c r="P46">
        <v>9.3000000000000007</v>
      </c>
      <c r="Q46">
        <v>16.8</v>
      </c>
      <c r="R46">
        <v>0.55200000000000005</v>
      </c>
      <c r="S46">
        <v>1.3</v>
      </c>
      <c r="T46">
        <v>3</v>
      </c>
      <c r="U46">
        <v>0.41699999999999998</v>
      </c>
      <c r="V46">
        <v>8</v>
      </c>
      <c r="W46">
        <v>13.8</v>
      </c>
      <c r="X46">
        <v>0.58199999999999996</v>
      </c>
      <c r="Y46">
        <v>0.59</v>
      </c>
      <c r="Z46">
        <v>7</v>
      </c>
      <c r="AA46">
        <v>8.5</v>
      </c>
      <c r="AB46">
        <v>0.82399999999999995</v>
      </c>
    </row>
    <row r="47" spans="1:28" x14ac:dyDescent="0.25">
      <c r="A47" t="s">
        <v>72</v>
      </c>
      <c r="B47" t="s">
        <v>35</v>
      </c>
      <c r="C47">
        <v>22</v>
      </c>
      <c r="D47" t="s">
        <v>57</v>
      </c>
      <c r="E47">
        <v>16</v>
      </c>
      <c r="F47">
        <v>16</v>
      </c>
      <c r="G47">
        <v>40.6</v>
      </c>
      <c r="H47">
        <v>1.1000000000000001</v>
      </c>
      <c r="I47">
        <v>5.9</v>
      </c>
      <c r="J47">
        <v>7</v>
      </c>
      <c r="K47">
        <v>6.5</v>
      </c>
      <c r="L47">
        <v>1.5</v>
      </c>
      <c r="M47">
        <v>3.3</v>
      </c>
      <c r="N47">
        <v>2.2999999999999998</v>
      </c>
      <c r="O47">
        <v>27.6</v>
      </c>
      <c r="P47">
        <v>9.8000000000000007</v>
      </c>
      <c r="Q47">
        <v>20.3</v>
      </c>
      <c r="R47">
        <v>0.48099999999999998</v>
      </c>
      <c r="S47">
        <v>2.9</v>
      </c>
      <c r="T47">
        <v>7.2</v>
      </c>
      <c r="U47">
        <v>0.4</v>
      </c>
      <c r="V47">
        <v>6.9</v>
      </c>
      <c r="W47">
        <v>13.1</v>
      </c>
      <c r="X47">
        <v>0.52600000000000002</v>
      </c>
      <c r="Y47">
        <v>0.55200000000000005</v>
      </c>
      <c r="Z47">
        <v>5.2</v>
      </c>
      <c r="AA47">
        <v>6.4</v>
      </c>
      <c r="AB47">
        <v>0.81399999999999995</v>
      </c>
    </row>
    <row r="48" spans="1:28" x14ac:dyDescent="0.25">
      <c r="A48" t="s">
        <v>145</v>
      </c>
      <c r="B48" t="s">
        <v>29</v>
      </c>
      <c r="C48">
        <v>29</v>
      </c>
      <c r="D48" t="s">
        <v>87</v>
      </c>
      <c r="E48">
        <v>6</v>
      </c>
      <c r="F48">
        <v>6</v>
      </c>
      <c r="G48">
        <v>41.3</v>
      </c>
      <c r="H48">
        <v>3.2</v>
      </c>
      <c r="I48">
        <v>7.7</v>
      </c>
      <c r="J48">
        <v>10.8</v>
      </c>
      <c r="K48">
        <v>5.7</v>
      </c>
      <c r="L48">
        <v>1.2</v>
      </c>
      <c r="M48">
        <v>4.2</v>
      </c>
      <c r="N48">
        <v>3.3</v>
      </c>
      <c r="O48">
        <v>33</v>
      </c>
      <c r="P48">
        <v>9.8000000000000007</v>
      </c>
      <c r="Q48">
        <v>22.2</v>
      </c>
      <c r="R48">
        <v>0.44400000000000001</v>
      </c>
      <c r="S48">
        <v>2.2000000000000002</v>
      </c>
      <c r="T48">
        <v>6.5</v>
      </c>
      <c r="U48">
        <v>0.33300000000000002</v>
      </c>
      <c r="V48">
        <v>7.7</v>
      </c>
      <c r="W48">
        <v>15.7</v>
      </c>
      <c r="X48">
        <v>0.48899999999999999</v>
      </c>
      <c r="Y48">
        <v>0.49199999999999999</v>
      </c>
      <c r="Z48">
        <v>11.2</v>
      </c>
      <c r="AA48">
        <v>13</v>
      </c>
      <c r="AB48">
        <v>0.85899999999999999</v>
      </c>
    </row>
    <row r="49" spans="1:28" x14ac:dyDescent="0.25">
      <c r="A49" t="s">
        <v>146</v>
      </c>
      <c r="B49" t="s">
        <v>29</v>
      </c>
      <c r="C49">
        <v>26</v>
      </c>
      <c r="D49" t="s">
        <v>59</v>
      </c>
      <c r="E49">
        <v>3</v>
      </c>
      <c r="F49">
        <v>0</v>
      </c>
      <c r="G49">
        <v>12.3</v>
      </c>
      <c r="H49">
        <v>0</v>
      </c>
      <c r="I49">
        <v>1.3</v>
      </c>
      <c r="J49">
        <v>1.3</v>
      </c>
      <c r="K49">
        <v>0</v>
      </c>
      <c r="L49">
        <v>0.7</v>
      </c>
      <c r="M49">
        <v>0.7</v>
      </c>
      <c r="N49">
        <v>2</v>
      </c>
      <c r="O49">
        <v>5.7</v>
      </c>
      <c r="P49">
        <v>2.2999999999999998</v>
      </c>
      <c r="Q49">
        <v>4</v>
      </c>
      <c r="R49">
        <v>0.58299999999999996</v>
      </c>
      <c r="S49">
        <v>0</v>
      </c>
      <c r="T49">
        <v>0</v>
      </c>
      <c r="U49">
        <v>0</v>
      </c>
      <c r="V49">
        <v>2.2999999999999998</v>
      </c>
      <c r="W49">
        <v>4</v>
      </c>
      <c r="X49">
        <v>0.58299999999999996</v>
      </c>
      <c r="Y49">
        <v>0.58299999999999996</v>
      </c>
      <c r="Z49">
        <v>1</v>
      </c>
      <c r="AA49">
        <v>1</v>
      </c>
      <c r="AB49">
        <v>1</v>
      </c>
    </row>
    <row r="50" spans="1:28" x14ac:dyDescent="0.25">
      <c r="A50" t="s">
        <v>147</v>
      </c>
      <c r="B50" t="s">
        <v>32</v>
      </c>
      <c r="C50">
        <v>28</v>
      </c>
      <c r="D50" t="s">
        <v>78</v>
      </c>
      <c r="E50">
        <v>21</v>
      </c>
      <c r="F50">
        <v>0</v>
      </c>
      <c r="G50">
        <v>6.9</v>
      </c>
      <c r="H50">
        <v>0.1</v>
      </c>
      <c r="I50">
        <v>0.7</v>
      </c>
      <c r="J50">
        <v>0.8</v>
      </c>
      <c r="K50">
        <v>0.6</v>
      </c>
      <c r="L50">
        <v>0.1</v>
      </c>
      <c r="M50">
        <v>0.2</v>
      </c>
      <c r="N50">
        <v>0.4</v>
      </c>
      <c r="O50">
        <v>2</v>
      </c>
      <c r="P50">
        <v>0.8</v>
      </c>
      <c r="Q50">
        <v>2.1</v>
      </c>
      <c r="R50">
        <v>0.36399999999999999</v>
      </c>
      <c r="S50">
        <v>0.3</v>
      </c>
      <c r="T50">
        <v>1</v>
      </c>
      <c r="U50">
        <v>0.35</v>
      </c>
      <c r="V50">
        <v>0.4</v>
      </c>
      <c r="W50">
        <v>1.1000000000000001</v>
      </c>
      <c r="X50">
        <v>0.375</v>
      </c>
      <c r="Y50">
        <v>0.443</v>
      </c>
      <c r="Z50">
        <v>0.2</v>
      </c>
      <c r="AA50">
        <v>0.3</v>
      </c>
      <c r="AB50">
        <v>0.66700000000000004</v>
      </c>
    </row>
    <row r="51" spans="1:28" x14ac:dyDescent="0.25">
      <c r="A51" t="s">
        <v>148</v>
      </c>
      <c r="B51" t="s">
        <v>32</v>
      </c>
      <c r="C51">
        <v>25</v>
      </c>
      <c r="D51" t="s">
        <v>81</v>
      </c>
      <c r="E51">
        <v>7</v>
      </c>
      <c r="F51">
        <v>0</v>
      </c>
      <c r="G51">
        <v>15.1</v>
      </c>
      <c r="H51">
        <v>1</v>
      </c>
      <c r="I51">
        <v>1</v>
      </c>
      <c r="J51">
        <v>2</v>
      </c>
      <c r="K51">
        <v>1.1000000000000001</v>
      </c>
      <c r="L51">
        <v>0.4</v>
      </c>
      <c r="M51">
        <v>1.1000000000000001</v>
      </c>
      <c r="N51">
        <v>1.7</v>
      </c>
      <c r="O51">
        <v>6.4</v>
      </c>
      <c r="P51">
        <v>2.9</v>
      </c>
      <c r="Q51">
        <v>4.9000000000000004</v>
      </c>
      <c r="R51">
        <v>0.58799999999999997</v>
      </c>
      <c r="S51">
        <v>0</v>
      </c>
      <c r="T51">
        <v>0.1</v>
      </c>
      <c r="U51">
        <v>0</v>
      </c>
      <c r="V51">
        <v>2.9</v>
      </c>
      <c r="W51">
        <v>4.7</v>
      </c>
      <c r="X51">
        <v>0.60599999999999998</v>
      </c>
      <c r="Y51">
        <v>0.58799999999999997</v>
      </c>
      <c r="Z51">
        <v>0.7</v>
      </c>
      <c r="AA51">
        <v>1.3</v>
      </c>
      <c r="AB51">
        <v>0.55600000000000005</v>
      </c>
    </row>
    <row r="52" spans="1:28" x14ac:dyDescent="0.25">
      <c r="A52" t="s">
        <v>149</v>
      </c>
      <c r="B52" t="s">
        <v>13</v>
      </c>
      <c r="C52">
        <v>25</v>
      </c>
      <c r="D52" t="s">
        <v>78</v>
      </c>
      <c r="E52">
        <v>22</v>
      </c>
      <c r="F52">
        <v>22</v>
      </c>
      <c r="G52">
        <v>20.2</v>
      </c>
      <c r="H52">
        <v>1.9</v>
      </c>
      <c r="I52">
        <v>3.6</v>
      </c>
      <c r="J52">
        <v>5.5</v>
      </c>
      <c r="K52">
        <v>0.7</v>
      </c>
      <c r="L52">
        <v>0.3</v>
      </c>
      <c r="M52">
        <v>0.9</v>
      </c>
      <c r="N52">
        <v>1.7</v>
      </c>
      <c r="O52">
        <v>9</v>
      </c>
      <c r="P52">
        <v>3.5</v>
      </c>
      <c r="Q52">
        <v>5.6</v>
      </c>
      <c r="R52">
        <v>0.63400000000000001</v>
      </c>
      <c r="S52">
        <v>0</v>
      </c>
      <c r="T52">
        <v>0</v>
      </c>
      <c r="U52">
        <v>0</v>
      </c>
      <c r="V52">
        <v>3.5</v>
      </c>
      <c r="W52">
        <v>5.6</v>
      </c>
      <c r="X52">
        <v>0.63400000000000001</v>
      </c>
      <c r="Y52">
        <v>0.63400000000000001</v>
      </c>
      <c r="Z52">
        <v>1.9</v>
      </c>
      <c r="AA52">
        <v>3</v>
      </c>
      <c r="AB52">
        <v>0.63100000000000001</v>
      </c>
    </row>
    <row r="53" spans="1:28" x14ac:dyDescent="0.25">
      <c r="A53" t="s">
        <v>150</v>
      </c>
      <c r="B53" t="s">
        <v>42</v>
      </c>
      <c r="C53">
        <v>35</v>
      </c>
      <c r="D53" t="s">
        <v>62</v>
      </c>
      <c r="E53">
        <v>3</v>
      </c>
      <c r="F53">
        <v>0</v>
      </c>
      <c r="G53">
        <v>12.3</v>
      </c>
      <c r="H53">
        <v>0.3</v>
      </c>
      <c r="I53">
        <v>2.7</v>
      </c>
      <c r="J53">
        <v>3</v>
      </c>
      <c r="K53">
        <v>0.7</v>
      </c>
      <c r="L53">
        <v>0</v>
      </c>
      <c r="M53">
        <v>0.3</v>
      </c>
      <c r="N53">
        <v>0</v>
      </c>
      <c r="O53">
        <v>3.7</v>
      </c>
      <c r="P53">
        <v>1.3</v>
      </c>
      <c r="Q53">
        <v>2.7</v>
      </c>
      <c r="R53">
        <v>0.5</v>
      </c>
      <c r="S53">
        <v>0</v>
      </c>
      <c r="T53">
        <v>0.7</v>
      </c>
      <c r="U53">
        <v>0</v>
      </c>
      <c r="V53">
        <v>1.3</v>
      </c>
      <c r="W53">
        <v>2</v>
      </c>
      <c r="X53">
        <v>0.66700000000000004</v>
      </c>
      <c r="Y53">
        <v>0.5</v>
      </c>
      <c r="Z53">
        <v>1</v>
      </c>
      <c r="AA53">
        <v>1.3</v>
      </c>
      <c r="AB53">
        <v>0.75</v>
      </c>
    </row>
    <row r="54" spans="1:28" x14ac:dyDescent="0.25">
      <c r="A54" t="s">
        <v>31</v>
      </c>
      <c r="B54" t="s">
        <v>32</v>
      </c>
      <c r="C54">
        <v>24</v>
      </c>
      <c r="D54" t="s">
        <v>30</v>
      </c>
      <c r="E54">
        <v>12</v>
      </c>
      <c r="F54">
        <v>12</v>
      </c>
      <c r="G54">
        <v>36</v>
      </c>
      <c r="H54">
        <v>0.1</v>
      </c>
      <c r="I54">
        <v>3.5</v>
      </c>
      <c r="J54">
        <v>3.6</v>
      </c>
      <c r="K54">
        <v>5.8</v>
      </c>
      <c r="L54">
        <v>1.1000000000000001</v>
      </c>
      <c r="M54">
        <v>2.2999999999999998</v>
      </c>
      <c r="N54">
        <v>2.8</v>
      </c>
      <c r="O54">
        <v>15.7</v>
      </c>
      <c r="P54">
        <v>6.1</v>
      </c>
      <c r="Q54">
        <v>14.3</v>
      </c>
      <c r="R54">
        <v>0.42699999999999999</v>
      </c>
      <c r="S54">
        <v>2.1</v>
      </c>
      <c r="T54">
        <v>5.9</v>
      </c>
      <c r="U54">
        <v>0.35199999999999998</v>
      </c>
      <c r="V54">
        <v>4</v>
      </c>
      <c r="W54">
        <v>8.3000000000000007</v>
      </c>
      <c r="X54">
        <v>0.48</v>
      </c>
      <c r="Y54">
        <v>0.5</v>
      </c>
      <c r="Z54">
        <v>1.4</v>
      </c>
      <c r="AA54">
        <v>1.8</v>
      </c>
      <c r="AB54">
        <v>0.81</v>
      </c>
    </row>
    <row r="55" spans="1:28" x14ac:dyDescent="0.25">
      <c r="A55" t="s">
        <v>151</v>
      </c>
      <c r="B55" t="s">
        <v>29</v>
      </c>
      <c r="C55">
        <v>25</v>
      </c>
      <c r="D55" t="s">
        <v>57</v>
      </c>
      <c r="E55">
        <v>7</v>
      </c>
      <c r="F55">
        <v>0</v>
      </c>
      <c r="G55">
        <v>3.7</v>
      </c>
      <c r="H55">
        <v>0.3</v>
      </c>
      <c r="I55">
        <v>0.6</v>
      </c>
      <c r="J55">
        <v>0.9</v>
      </c>
      <c r="K55">
        <v>0.1</v>
      </c>
      <c r="L55">
        <v>0</v>
      </c>
      <c r="M55">
        <v>0</v>
      </c>
      <c r="N55">
        <v>0</v>
      </c>
      <c r="O55">
        <v>4.0999999999999996</v>
      </c>
      <c r="P55">
        <v>1.4</v>
      </c>
      <c r="Q55">
        <v>1.7</v>
      </c>
      <c r="R55">
        <v>0.83299999999999996</v>
      </c>
      <c r="S55">
        <v>0.3</v>
      </c>
      <c r="T55">
        <v>0.4</v>
      </c>
      <c r="U55">
        <v>0.66700000000000004</v>
      </c>
      <c r="V55">
        <v>1.1000000000000001</v>
      </c>
      <c r="W55">
        <v>1.3</v>
      </c>
      <c r="X55">
        <v>0.88900000000000001</v>
      </c>
      <c r="Y55">
        <v>0.91700000000000004</v>
      </c>
      <c r="Z55">
        <v>1</v>
      </c>
      <c r="AA55">
        <v>1.1000000000000001</v>
      </c>
      <c r="AB55">
        <v>0.875</v>
      </c>
    </row>
    <row r="56" spans="1:28" x14ac:dyDescent="0.25">
      <c r="A56" t="s">
        <v>152</v>
      </c>
      <c r="B56" t="s">
        <v>13</v>
      </c>
      <c r="C56">
        <v>33</v>
      </c>
      <c r="D56" t="s">
        <v>95</v>
      </c>
      <c r="E56">
        <v>6</v>
      </c>
      <c r="F56">
        <v>6</v>
      </c>
      <c r="G56">
        <v>37</v>
      </c>
      <c r="H56">
        <v>0.5</v>
      </c>
      <c r="I56">
        <v>6.3</v>
      </c>
      <c r="J56">
        <v>6.8</v>
      </c>
      <c r="K56">
        <v>4.8</v>
      </c>
      <c r="L56">
        <v>1.2</v>
      </c>
      <c r="M56">
        <v>2.2999999999999998</v>
      </c>
      <c r="N56">
        <v>3.7</v>
      </c>
      <c r="O56">
        <v>19.5</v>
      </c>
      <c r="P56">
        <v>6.5</v>
      </c>
      <c r="Q56">
        <v>15.8</v>
      </c>
      <c r="R56">
        <v>0.41099999999999998</v>
      </c>
      <c r="S56">
        <v>3</v>
      </c>
      <c r="T56">
        <v>8.1999999999999993</v>
      </c>
      <c r="U56">
        <v>0.36699999999999999</v>
      </c>
      <c r="V56">
        <v>3.5</v>
      </c>
      <c r="W56">
        <v>7.7</v>
      </c>
      <c r="X56">
        <v>0.45700000000000002</v>
      </c>
      <c r="Y56">
        <v>0.505</v>
      </c>
      <c r="Z56">
        <v>3.5</v>
      </c>
      <c r="AA56">
        <v>4.2</v>
      </c>
      <c r="AB56">
        <v>0.84</v>
      </c>
    </row>
    <row r="57" spans="1:28" x14ac:dyDescent="0.25">
      <c r="A57" t="s">
        <v>73</v>
      </c>
      <c r="B57" t="s">
        <v>35</v>
      </c>
      <c r="C57">
        <v>21</v>
      </c>
      <c r="D57" t="s">
        <v>74</v>
      </c>
      <c r="E57">
        <v>10</v>
      </c>
      <c r="F57">
        <v>8</v>
      </c>
      <c r="G57">
        <v>18.100000000000001</v>
      </c>
      <c r="H57">
        <v>0.7</v>
      </c>
      <c r="I57">
        <v>2.9</v>
      </c>
      <c r="J57">
        <v>3.6</v>
      </c>
      <c r="K57">
        <v>2.1</v>
      </c>
      <c r="L57">
        <v>0.2</v>
      </c>
      <c r="M57">
        <v>1.2</v>
      </c>
      <c r="N57">
        <v>0.9</v>
      </c>
      <c r="O57">
        <v>8.6999999999999993</v>
      </c>
      <c r="P57">
        <v>3.4</v>
      </c>
      <c r="Q57">
        <v>7.5</v>
      </c>
      <c r="R57">
        <v>0.45300000000000001</v>
      </c>
      <c r="S57">
        <v>1.2</v>
      </c>
      <c r="T57">
        <v>3.4</v>
      </c>
      <c r="U57">
        <v>0.35299999999999998</v>
      </c>
      <c r="V57">
        <v>2.2000000000000002</v>
      </c>
      <c r="W57">
        <v>4.0999999999999996</v>
      </c>
      <c r="X57">
        <v>0.53700000000000003</v>
      </c>
      <c r="Y57">
        <v>0.53300000000000003</v>
      </c>
      <c r="Z57">
        <v>0.7</v>
      </c>
      <c r="AA57">
        <v>0.8</v>
      </c>
      <c r="AB57">
        <v>0.875</v>
      </c>
    </row>
    <row r="58" spans="1:28" x14ac:dyDescent="0.25">
      <c r="A58" t="s">
        <v>153</v>
      </c>
      <c r="B58" t="s">
        <v>32</v>
      </c>
      <c r="C58">
        <v>25</v>
      </c>
      <c r="D58" t="s">
        <v>74</v>
      </c>
      <c r="E58">
        <v>10</v>
      </c>
      <c r="F58">
        <v>10</v>
      </c>
      <c r="G58">
        <v>39.9</v>
      </c>
      <c r="H58">
        <v>0.8</v>
      </c>
      <c r="I58">
        <v>6.4</v>
      </c>
      <c r="J58">
        <v>7.2</v>
      </c>
      <c r="K58">
        <v>6.4</v>
      </c>
      <c r="L58">
        <v>1.3</v>
      </c>
      <c r="M58">
        <v>2.2000000000000002</v>
      </c>
      <c r="N58">
        <v>3.1</v>
      </c>
      <c r="O58">
        <v>30.2</v>
      </c>
      <c r="P58">
        <v>11.1</v>
      </c>
      <c r="Q58">
        <v>22.4</v>
      </c>
      <c r="R58">
        <v>0.496</v>
      </c>
      <c r="S58">
        <v>1.6</v>
      </c>
      <c r="T58">
        <v>3.7</v>
      </c>
      <c r="U58">
        <v>0.432</v>
      </c>
      <c r="V58">
        <v>9.5</v>
      </c>
      <c r="W58">
        <v>18.7</v>
      </c>
      <c r="X58">
        <v>0.50800000000000001</v>
      </c>
      <c r="Y58">
        <v>0.53100000000000003</v>
      </c>
      <c r="Z58">
        <v>6.4</v>
      </c>
      <c r="AA58">
        <v>8.1</v>
      </c>
      <c r="AB58">
        <v>0.79</v>
      </c>
    </row>
    <row r="59" spans="1:28" x14ac:dyDescent="0.25">
      <c r="A59" t="s">
        <v>154</v>
      </c>
      <c r="B59" t="s">
        <v>29</v>
      </c>
      <c r="C59">
        <v>31</v>
      </c>
      <c r="D59" t="s">
        <v>57</v>
      </c>
      <c r="E59">
        <v>15</v>
      </c>
      <c r="F59">
        <v>15</v>
      </c>
      <c r="G59">
        <v>34.1</v>
      </c>
      <c r="H59">
        <v>2.7</v>
      </c>
      <c r="I59">
        <v>7.1</v>
      </c>
      <c r="J59">
        <v>9.8000000000000007</v>
      </c>
      <c r="K59">
        <v>1.6</v>
      </c>
      <c r="L59">
        <v>0.9</v>
      </c>
      <c r="M59">
        <v>1.5</v>
      </c>
      <c r="N59">
        <v>3.7</v>
      </c>
      <c r="O59">
        <v>12.1</v>
      </c>
      <c r="P59">
        <v>4.3</v>
      </c>
      <c r="Q59">
        <v>6.9</v>
      </c>
      <c r="R59">
        <v>0.61499999999999999</v>
      </c>
      <c r="S59">
        <v>0</v>
      </c>
      <c r="T59">
        <v>0</v>
      </c>
      <c r="U59">
        <v>0</v>
      </c>
      <c r="V59">
        <v>4.3</v>
      </c>
      <c r="W59">
        <v>6.9</v>
      </c>
      <c r="X59">
        <v>0.61499999999999999</v>
      </c>
      <c r="Y59">
        <v>0.61499999999999999</v>
      </c>
      <c r="Z59">
        <v>3.5</v>
      </c>
      <c r="AA59">
        <v>5.3</v>
      </c>
      <c r="AB59">
        <v>0.67100000000000004</v>
      </c>
    </row>
    <row r="60" spans="1:28" x14ac:dyDescent="0.25">
      <c r="A60" t="s">
        <v>155</v>
      </c>
      <c r="B60" t="s">
        <v>13</v>
      </c>
      <c r="C60">
        <v>28</v>
      </c>
      <c r="D60" t="s">
        <v>64</v>
      </c>
      <c r="E60">
        <v>12</v>
      </c>
      <c r="F60">
        <v>12</v>
      </c>
      <c r="G60">
        <v>37.1</v>
      </c>
      <c r="H60">
        <v>3</v>
      </c>
      <c r="I60">
        <v>4.3</v>
      </c>
      <c r="J60">
        <v>7.3</v>
      </c>
      <c r="K60">
        <v>4.4000000000000004</v>
      </c>
      <c r="L60">
        <v>0.8</v>
      </c>
      <c r="M60">
        <v>1.5</v>
      </c>
      <c r="N60">
        <v>2.2999999999999998</v>
      </c>
      <c r="O60">
        <v>14.3</v>
      </c>
      <c r="P60">
        <v>5.8</v>
      </c>
      <c r="Q60">
        <v>9.8000000000000007</v>
      </c>
      <c r="R60">
        <v>0.58499999999999996</v>
      </c>
      <c r="S60">
        <v>0.9</v>
      </c>
      <c r="T60">
        <v>2.2999999999999998</v>
      </c>
      <c r="U60">
        <v>0.40699999999999997</v>
      </c>
      <c r="V60">
        <v>4.8</v>
      </c>
      <c r="W60">
        <v>7.6</v>
      </c>
      <c r="X60">
        <v>0.63700000000000001</v>
      </c>
      <c r="Y60">
        <v>0.63100000000000001</v>
      </c>
      <c r="Z60">
        <v>1.9</v>
      </c>
      <c r="AA60">
        <v>2.2999999999999998</v>
      </c>
      <c r="AB60">
        <v>0.82099999999999995</v>
      </c>
    </row>
    <row r="61" spans="1:28" x14ac:dyDescent="0.25">
      <c r="A61" t="s">
        <v>75</v>
      </c>
      <c r="B61" t="s">
        <v>35</v>
      </c>
      <c r="C61">
        <v>35</v>
      </c>
      <c r="D61" t="s">
        <v>59</v>
      </c>
      <c r="E61">
        <v>4</v>
      </c>
      <c r="F61">
        <v>0</v>
      </c>
      <c r="G61">
        <v>29.5</v>
      </c>
      <c r="H61">
        <v>0.3</v>
      </c>
      <c r="I61">
        <v>1.5</v>
      </c>
      <c r="J61">
        <v>1.8</v>
      </c>
      <c r="K61">
        <v>1.3</v>
      </c>
      <c r="L61">
        <v>1.3</v>
      </c>
      <c r="M61">
        <v>1</v>
      </c>
      <c r="N61">
        <v>1.3</v>
      </c>
      <c r="O61">
        <v>8</v>
      </c>
      <c r="P61">
        <v>2.2999999999999998</v>
      </c>
      <c r="Q61">
        <v>7</v>
      </c>
      <c r="R61">
        <v>0.32100000000000001</v>
      </c>
      <c r="S61">
        <v>1.8</v>
      </c>
      <c r="T61">
        <v>4.3</v>
      </c>
      <c r="U61">
        <v>0.41199999999999998</v>
      </c>
      <c r="V61">
        <v>0.5</v>
      </c>
      <c r="W61">
        <v>2.8</v>
      </c>
      <c r="X61">
        <v>0.182</v>
      </c>
      <c r="Y61">
        <v>0.44600000000000001</v>
      </c>
      <c r="Z61">
        <v>1.8</v>
      </c>
      <c r="AA61">
        <v>2</v>
      </c>
      <c r="AB61">
        <v>0.875</v>
      </c>
    </row>
    <row r="62" spans="1:28" x14ac:dyDescent="0.25">
      <c r="A62" t="s">
        <v>76</v>
      </c>
      <c r="B62" t="s">
        <v>35</v>
      </c>
      <c r="C62">
        <v>24</v>
      </c>
      <c r="D62" t="s">
        <v>62</v>
      </c>
      <c r="E62">
        <v>6</v>
      </c>
      <c r="F62">
        <v>0</v>
      </c>
      <c r="G62">
        <v>11.2</v>
      </c>
      <c r="H62">
        <v>0</v>
      </c>
      <c r="I62">
        <v>1.5</v>
      </c>
      <c r="J62">
        <v>1.5</v>
      </c>
      <c r="K62">
        <v>0.3</v>
      </c>
      <c r="L62">
        <v>0</v>
      </c>
      <c r="M62">
        <v>0.2</v>
      </c>
      <c r="N62">
        <v>1.5</v>
      </c>
      <c r="O62">
        <v>2.8</v>
      </c>
      <c r="P62">
        <v>1</v>
      </c>
      <c r="Q62">
        <v>2.7</v>
      </c>
      <c r="R62">
        <v>0.375</v>
      </c>
      <c r="S62">
        <v>0.3</v>
      </c>
      <c r="T62">
        <v>1.8</v>
      </c>
      <c r="U62">
        <v>0.182</v>
      </c>
      <c r="V62">
        <v>0.7</v>
      </c>
      <c r="W62">
        <v>0.8</v>
      </c>
      <c r="X62">
        <v>0.8</v>
      </c>
      <c r="Y62">
        <v>0.438</v>
      </c>
      <c r="Z62">
        <v>0.5</v>
      </c>
      <c r="AA62">
        <v>0.5</v>
      </c>
      <c r="AB62">
        <v>1</v>
      </c>
    </row>
    <row r="63" spans="1:28" x14ac:dyDescent="0.25">
      <c r="A63" t="s">
        <v>77</v>
      </c>
      <c r="B63" t="s">
        <v>35</v>
      </c>
      <c r="C63">
        <v>23</v>
      </c>
      <c r="D63" t="s">
        <v>78</v>
      </c>
      <c r="E63">
        <v>22</v>
      </c>
      <c r="F63">
        <v>0</v>
      </c>
      <c r="G63">
        <v>18.100000000000001</v>
      </c>
      <c r="H63">
        <v>1</v>
      </c>
      <c r="I63">
        <v>1.6</v>
      </c>
      <c r="J63">
        <v>2.5</v>
      </c>
      <c r="K63">
        <v>1</v>
      </c>
      <c r="L63">
        <v>0.8</v>
      </c>
      <c r="M63">
        <v>0.3</v>
      </c>
      <c r="N63">
        <v>1.3</v>
      </c>
      <c r="O63">
        <v>5</v>
      </c>
      <c r="P63">
        <v>1.6</v>
      </c>
      <c r="Q63">
        <v>3.9</v>
      </c>
      <c r="R63">
        <v>0.42399999999999999</v>
      </c>
      <c r="S63">
        <v>1</v>
      </c>
      <c r="T63">
        <v>2.7</v>
      </c>
      <c r="U63">
        <v>0.39</v>
      </c>
      <c r="V63">
        <v>0.6</v>
      </c>
      <c r="W63">
        <v>1.2</v>
      </c>
      <c r="X63">
        <v>0.5</v>
      </c>
      <c r="Y63">
        <v>0.55900000000000005</v>
      </c>
      <c r="Z63">
        <v>0.6</v>
      </c>
      <c r="AA63">
        <v>0.9</v>
      </c>
      <c r="AB63">
        <v>0.73699999999999999</v>
      </c>
    </row>
    <row r="64" spans="1:28" x14ac:dyDescent="0.25">
      <c r="A64" t="s">
        <v>49</v>
      </c>
      <c r="B64" t="s">
        <v>13</v>
      </c>
      <c r="C64">
        <v>25</v>
      </c>
      <c r="D64" t="s">
        <v>47</v>
      </c>
      <c r="E64">
        <v>5</v>
      </c>
      <c r="F64">
        <v>5</v>
      </c>
      <c r="G64">
        <v>30.4</v>
      </c>
      <c r="H64">
        <v>1.2</v>
      </c>
      <c r="I64">
        <v>2.6</v>
      </c>
      <c r="J64">
        <v>3.8</v>
      </c>
      <c r="K64">
        <v>0.8</v>
      </c>
      <c r="L64">
        <v>0</v>
      </c>
      <c r="M64">
        <v>0.4</v>
      </c>
      <c r="N64">
        <v>1.6</v>
      </c>
      <c r="O64">
        <v>7.8</v>
      </c>
      <c r="P64">
        <v>3</v>
      </c>
      <c r="Q64">
        <v>7.6</v>
      </c>
      <c r="R64">
        <v>0.39500000000000002</v>
      </c>
      <c r="S64">
        <v>1</v>
      </c>
      <c r="T64">
        <v>2.8</v>
      </c>
      <c r="U64">
        <v>0.35699999999999998</v>
      </c>
      <c r="V64">
        <v>2</v>
      </c>
      <c r="W64">
        <v>4.8</v>
      </c>
      <c r="X64">
        <v>0.41699999999999998</v>
      </c>
      <c r="Y64">
        <v>0.46100000000000002</v>
      </c>
      <c r="Z64">
        <v>0.8</v>
      </c>
      <c r="AA64">
        <v>1.6</v>
      </c>
      <c r="AB64">
        <v>0.5</v>
      </c>
    </row>
    <row r="65" spans="1:28" x14ac:dyDescent="0.25">
      <c r="A65" t="s">
        <v>156</v>
      </c>
      <c r="B65" t="s">
        <v>32</v>
      </c>
      <c r="C65">
        <v>23</v>
      </c>
      <c r="D65" t="s">
        <v>66</v>
      </c>
      <c r="E65">
        <v>15</v>
      </c>
      <c r="F65">
        <v>15</v>
      </c>
      <c r="G65">
        <v>34.799999999999997</v>
      </c>
      <c r="H65">
        <v>0.8</v>
      </c>
      <c r="I65">
        <v>4</v>
      </c>
      <c r="J65">
        <v>4.8</v>
      </c>
      <c r="K65">
        <v>8.1999999999999993</v>
      </c>
      <c r="L65">
        <v>1.3</v>
      </c>
      <c r="M65">
        <v>2.1</v>
      </c>
      <c r="N65">
        <v>0.9</v>
      </c>
      <c r="O65">
        <v>18.7</v>
      </c>
      <c r="P65">
        <v>7</v>
      </c>
      <c r="Q65">
        <v>14.3</v>
      </c>
      <c r="R65">
        <v>0.48799999999999999</v>
      </c>
      <c r="S65">
        <v>3.5</v>
      </c>
      <c r="T65">
        <v>9.3000000000000007</v>
      </c>
      <c r="U65">
        <v>0.379</v>
      </c>
      <c r="V65">
        <v>3.5</v>
      </c>
      <c r="W65">
        <v>5</v>
      </c>
      <c r="X65">
        <v>0.69299999999999995</v>
      </c>
      <c r="Y65">
        <v>0.61199999999999999</v>
      </c>
      <c r="Z65">
        <v>1.1000000000000001</v>
      </c>
      <c r="AA65">
        <v>1.3</v>
      </c>
      <c r="AB65">
        <v>0.85</v>
      </c>
    </row>
    <row r="66" spans="1:28" x14ac:dyDescent="0.25">
      <c r="A66" t="s">
        <v>157</v>
      </c>
      <c r="B66" t="s">
        <v>42</v>
      </c>
      <c r="C66">
        <v>31</v>
      </c>
      <c r="D66" t="s">
        <v>78</v>
      </c>
      <c r="E66">
        <v>14</v>
      </c>
      <c r="F66">
        <v>0</v>
      </c>
      <c r="G66">
        <v>12.7</v>
      </c>
      <c r="H66">
        <v>0.1</v>
      </c>
      <c r="I66">
        <v>1.6</v>
      </c>
      <c r="J66">
        <v>1.8</v>
      </c>
      <c r="K66">
        <v>0.4</v>
      </c>
      <c r="L66">
        <v>0.4</v>
      </c>
      <c r="M66">
        <v>0.1</v>
      </c>
      <c r="N66">
        <v>0.7</v>
      </c>
      <c r="O66">
        <v>4.4000000000000004</v>
      </c>
      <c r="P66">
        <v>1.6</v>
      </c>
      <c r="Q66">
        <v>4.0999999999999996</v>
      </c>
      <c r="R66">
        <v>0.379</v>
      </c>
      <c r="S66">
        <v>0.9</v>
      </c>
      <c r="T66">
        <v>2.6</v>
      </c>
      <c r="U66">
        <v>0.35099999999999998</v>
      </c>
      <c r="V66">
        <v>0.6</v>
      </c>
      <c r="W66">
        <v>1.5</v>
      </c>
      <c r="X66">
        <v>0.42899999999999999</v>
      </c>
      <c r="Y66">
        <v>0.49099999999999999</v>
      </c>
      <c r="Z66">
        <v>0.3</v>
      </c>
      <c r="AA66">
        <v>0.6</v>
      </c>
      <c r="AB66">
        <v>0.5</v>
      </c>
    </row>
    <row r="67" spans="1:28" x14ac:dyDescent="0.25">
      <c r="A67" t="s">
        <v>158</v>
      </c>
      <c r="B67" t="s">
        <v>32</v>
      </c>
      <c r="C67">
        <v>34</v>
      </c>
      <c r="D67" t="s">
        <v>95</v>
      </c>
      <c r="E67">
        <v>6</v>
      </c>
      <c r="F67">
        <v>6</v>
      </c>
      <c r="G67">
        <v>40.299999999999997</v>
      </c>
      <c r="H67">
        <v>0.5</v>
      </c>
      <c r="I67">
        <v>4</v>
      </c>
      <c r="J67">
        <v>4.5</v>
      </c>
      <c r="K67">
        <v>8</v>
      </c>
      <c r="L67">
        <v>1</v>
      </c>
      <c r="M67">
        <v>2.2999999999999998</v>
      </c>
      <c r="N67">
        <v>2.2000000000000002</v>
      </c>
      <c r="O67">
        <v>21.2</v>
      </c>
      <c r="P67">
        <v>6.7</v>
      </c>
      <c r="Q67">
        <v>14.8</v>
      </c>
      <c r="R67">
        <v>0.44900000000000001</v>
      </c>
      <c r="S67">
        <v>3</v>
      </c>
      <c r="T67">
        <v>7.8</v>
      </c>
      <c r="U67">
        <v>0.38300000000000001</v>
      </c>
      <c r="V67">
        <v>3.7</v>
      </c>
      <c r="W67">
        <v>7</v>
      </c>
      <c r="X67">
        <v>0.52400000000000002</v>
      </c>
      <c r="Y67">
        <v>0.55100000000000005</v>
      </c>
      <c r="Z67">
        <v>4.8</v>
      </c>
      <c r="AA67">
        <v>5.3</v>
      </c>
      <c r="AB67">
        <v>0.90600000000000003</v>
      </c>
    </row>
    <row r="68" spans="1:28" x14ac:dyDescent="0.25">
      <c r="A68" t="s">
        <v>79</v>
      </c>
      <c r="B68" t="s">
        <v>35</v>
      </c>
      <c r="C68">
        <v>21</v>
      </c>
      <c r="D68" t="s">
        <v>78</v>
      </c>
      <c r="E68">
        <v>19</v>
      </c>
      <c r="F68">
        <v>0</v>
      </c>
      <c r="G68">
        <v>6.8</v>
      </c>
      <c r="H68">
        <v>0.1</v>
      </c>
      <c r="I68">
        <v>0.7</v>
      </c>
      <c r="J68">
        <v>0.8</v>
      </c>
      <c r="K68">
        <v>0.9</v>
      </c>
      <c r="L68">
        <v>0.2</v>
      </c>
      <c r="M68">
        <v>0.4</v>
      </c>
      <c r="N68">
        <v>0.7</v>
      </c>
      <c r="O68">
        <v>4.2</v>
      </c>
      <c r="P68">
        <v>1.5</v>
      </c>
      <c r="Q68">
        <v>3.6</v>
      </c>
      <c r="R68">
        <v>0.42599999999999999</v>
      </c>
      <c r="S68">
        <v>0.6</v>
      </c>
      <c r="T68">
        <v>1.4</v>
      </c>
      <c r="U68">
        <v>0.40699999999999997</v>
      </c>
      <c r="V68">
        <v>0.9</v>
      </c>
      <c r="W68">
        <v>2.2000000000000002</v>
      </c>
      <c r="X68">
        <v>0.439</v>
      </c>
      <c r="Y68">
        <v>0.50700000000000001</v>
      </c>
      <c r="Z68">
        <v>0.6</v>
      </c>
      <c r="AA68">
        <v>0.8</v>
      </c>
      <c r="AB68">
        <v>0.73299999999999998</v>
      </c>
    </row>
    <row r="69" spans="1:28" x14ac:dyDescent="0.25">
      <c r="A69" t="s">
        <v>80</v>
      </c>
      <c r="B69" t="s">
        <v>35</v>
      </c>
      <c r="C69">
        <v>29</v>
      </c>
      <c r="D69" t="s">
        <v>81</v>
      </c>
      <c r="E69">
        <v>6</v>
      </c>
      <c r="F69">
        <v>6</v>
      </c>
      <c r="G69">
        <v>26.5</v>
      </c>
      <c r="H69">
        <v>0.8</v>
      </c>
      <c r="I69">
        <v>1.2</v>
      </c>
      <c r="J69">
        <v>2</v>
      </c>
      <c r="K69">
        <v>0.7</v>
      </c>
      <c r="L69">
        <v>1.2</v>
      </c>
      <c r="M69">
        <v>0.3</v>
      </c>
      <c r="N69">
        <v>3</v>
      </c>
      <c r="O69">
        <v>4.2</v>
      </c>
      <c r="P69">
        <v>1.3</v>
      </c>
      <c r="Q69">
        <v>4.7</v>
      </c>
      <c r="R69">
        <v>0.28599999999999998</v>
      </c>
      <c r="S69">
        <v>1.2</v>
      </c>
      <c r="T69">
        <v>3.7</v>
      </c>
      <c r="U69">
        <v>0.318</v>
      </c>
      <c r="V69">
        <v>0.2</v>
      </c>
      <c r="W69">
        <v>1</v>
      </c>
      <c r="X69">
        <v>0.16700000000000001</v>
      </c>
      <c r="Y69">
        <v>0.41099999999999998</v>
      </c>
      <c r="Z69">
        <v>0.3</v>
      </c>
      <c r="AA69">
        <v>0.3</v>
      </c>
      <c r="AB69">
        <v>1</v>
      </c>
    </row>
    <row r="70" spans="1:28" x14ac:dyDescent="0.25">
      <c r="A70" t="s">
        <v>159</v>
      </c>
      <c r="B70" t="s">
        <v>13</v>
      </c>
      <c r="C70">
        <v>31</v>
      </c>
      <c r="D70" t="s">
        <v>87</v>
      </c>
      <c r="E70">
        <v>6</v>
      </c>
      <c r="F70">
        <v>6</v>
      </c>
      <c r="G70">
        <v>36.299999999999997</v>
      </c>
      <c r="H70">
        <v>1.5</v>
      </c>
      <c r="I70">
        <v>5.7</v>
      </c>
      <c r="J70">
        <v>7.2</v>
      </c>
      <c r="K70">
        <v>1.5</v>
      </c>
      <c r="L70">
        <v>0.2</v>
      </c>
      <c r="M70">
        <v>0.5</v>
      </c>
      <c r="N70">
        <v>1.8</v>
      </c>
      <c r="O70">
        <v>9</v>
      </c>
      <c r="P70">
        <v>3.7</v>
      </c>
      <c r="Q70">
        <v>8.5</v>
      </c>
      <c r="R70">
        <v>0.43099999999999999</v>
      </c>
      <c r="S70">
        <v>1</v>
      </c>
      <c r="T70">
        <v>3</v>
      </c>
      <c r="U70">
        <v>0.33300000000000002</v>
      </c>
      <c r="V70">
        <v>2.7</v>
      </c>
      <c r="W70">
        <v>5.5</v>
      </c>
      <c r="X70">
        <v>0.48499999999999999</v>
      </c>
      <c r="Y70">
        <v>0.49</v>
      </c>
      <c r="Z70">
        <v>0.7</v>
      </c>
      <c r="AA70">
        <v>0.7</v>
      </c>
      <c r="AB70">
        <v>1</v>
      </c>
    </row>
    <row r="71" spans="1:28" x14ac:dyDescent="0.25">
      <c r="A71" t="s">
        <v>160</v>
      </c>
      <c r="B71" t="s">
        <v>42</v>
      </c>
      <c r="C71">
        <v>28</v>
      </c>
      <c r="D71" t="s">
        <v>71</v>
      </c>
      <c r="E71">
        <v>13</v>
      </c>
      <c r="F71">
        <v>13</v>
      </c>
      <c r="G71">
        <v>42.2</v>
      </c>
      <c r="H71">
        <v>2.8</v>
      </c>
      <c r="I71">
        <v>8.6999999999999993</v>
      </c>
      <c r="J71">
        <v>11.5</v>
      </c>
      <c r="K71">
        <v>4.5</v>
      </c>
      <c r="L71">
        <v>1</v>
      </c>
      <c r="M71">
        <v>2.6</v>
      </c>
      <c r="N71">
        <v>3.2</v>
      </c>
      <c r="O71">
        <v>14.5</v>
      </c>
      <c r="P71">
        <v>5.0999999999999996</v>
      </c>
      <c r="Q71">
        <v>11.5</v>
      </c>
      <c r="R71">
        <v>0.44</v>
      </c>
      <c r="S71">
        <v>1.7</v>
      </c>
      <c r="T71">
        <v>4.5</v>
      </c>
      <c r="U71">
        <v>0.373</v>
      </c>
      <c r="V71">
        <v>3.4</v>
      </c>
      <c r="W71">
        <v>7</v>
      </c>
      <c r="X71">
        <v>0.48399999999999999</v>
      </c>
      <c r="Y71">
        <v>0.51300000000000001</v>
      </c>
      <c r="Z71">
        <v>2.7</v>
      </c>
      <c r="AA71">
        <v>3.7</v>
      </c>
      <c r="AB71">
        <v>0.72899999999999998</v>
      </c>
    </row>
    <row r="72" spans="1:28" x14ac:dyDescent="0.25">
      <c r="A72" t="s">
        <v>161</v>
      </c>
      <c r="B72" t="s">
        <v>29</v>
      </c>
      <c r="C72">
        <v>25</v>
      </c>
      <c r="D72" t="s">
        <v>71</v>
      </c>
      <c r="E72">
        <v>13</v>
      </c>
      <c r="F72">
        <v>13</v>
      </c>
      <c r="G72">
        <v>29.8</v>
      </c>
      <c r="H72">
        <v>3.8</v>
      </c>
      <c r="I72">
        <v>4.0999999999999996</v>
      </c>
      <c r="J72">
        <v>7.8</v>
      </c>
      <c r="K72">
        <v>3.5</v>
      </c>
      <c r="L72">
        <v>0.3</v>
      </c>
      <c r="M72">
        <v>1.5</v>
      </c>
      <c r="N72">
        <v>3.2</v>
      </c>
      <c r="O72">
        <v>8.5</v>
      </c>
      <c r="P72">
        <v>3.5</v>
      </c>
      <c r="Q72">
        <v>5.8</v>
      </c>
      <c r="R72">
        <v>0.59199999999999997</v>
      </c>
      <c r="S72">
        <v>0.1</v>
      </c>
      <c r="T72">
        <v>0.2</v>
      </c>
      <c r="U72">
        <v>0.5</v>
      </c>
      <c r="V72">
        <v>3.4</v>
      </c>
      <c r="W72">
        <v>5.7</v>
      </c>
      <c r="X72">
        <v>0.59499999999999997</v>
      </c>
      <c r="Y72">
        <v>0.59899999999999998</v>
      </c>
      <c r="Z72">
        <v>1.5</v>
      </c>
      <c r="AA72">
        <v>1.7</v>
      </c>
      <c r="AB72">
        <v>0.86399999999999999</v>
      </c>
    </row>
    <row r="73" spans="1:28" x14ac:dyDescent="0.25">
      <c r="A73" t="s">
        <v>162</v>
      </c>
      <c r="B73" t="s">
        <v>42</v>
      </c>
      <c r="C73">
        <v>26</v>
      </c>
      <c r="D73" t="s">
        <v>107</v>
      </c>
      <c r="E73">
        <v>19</v>
      </c>
      <c r="F73">
        <v>0</v>
      </c>
      <c r="G73">
        <v>14.9</v>
      </c>
      <c r="H73">
        <v>0.4</v>
      </c>
      <c r="I73">
        <v>1.7</v>
      </c>
      <c r="J73">
        <v>2.2000000000000002</v>
      </c>
      <c r="K73">
        <v>0.6</v>
      </c>
      <c r="L73">
        <v>0.3</v>
      </c>
      <c r="M73">
        <v>0.2</v>
      </c>
      <c r="N73">
        <v>1.1000000000000001</v>
      </c>
      <c r="O73">
        <v>5.4</v>
      </c>
      <c r="P73">
        <v>1.9</v>
      </c>
      <c r="Q73">
        <v>4.4000000000000004</v>
      </c>
      <c r="R73">
        <v>0.42899999999999999</v>
      </c>
      <c r="S73">
        <v>1.4</v>
      </c>
      <c r="T73">
        <v>3.7</v>
      </c>
      <c r="U73">
        <v>0.38</v>
      </c>
      <c r="V73">
        <v>0.5</v>
      </c>
      <c r="W73">
        <v>0.7</v>
      </c>
      <c r="X73">
        <v>0.69199999999999995</v>
      </c>
      <c r="Y73">
        <v>0.58899999999999997</v>
      </c>
      <c r="Z73">
        <v>0.2</v>
      </c>
      <c r="AA73">
        <v>0.2</v>
      </c>
      <c r="AB73">
        <v>1</v>
      </c>
    </row>
    <row r="74" spans="1:28" x14ac:dyDescent="0.25">
      <c r="A74" t="s">
        <v>82</v>
      </c>
      <c r="B74" t="s">
        <v>35</v>
      </c>
      <c r="C74">
        <v>21</v>
      </c>
      <c r="D74" t="s">
        <v>83</v>
      </c>
      <c r="E74">
        <v>3</v>
      </c>
      <c r="F74">
        <v>0</v>
      </c>
      <c r="G74">
        <v>4</v>
      </c>
      <c r="H74">
        <v>0</v>
      </c>
      <c r="I74">
        <v>0.7</v>
      </c>
      <c r="J74">
        <v>0.7</v>
      </c>
      <c r="K74">
        <v>0</v>
      </c>
      <c r="L74">
        <v>0</v>
      </c>
      <c r="M74">
        <v>0</v>
      </c>
      <c r="N74">
        <v>0.3</v>
      </c>
      <c r="O74">
        <v>0</v>
      </c>
      <c r="P74">
        <v>0</v>
      </c>
      <c r="Q74">
        <v>1.3</v>
      </c>
      <c r="R74">
        <v>0</v>
      </c>
      <c r="S74">
        <v>0</v>
      </c>
      <c r="T74">
        <v>1</v>
      </c>
      <c r="U74">
        <v>0</v>
      </c>
      <c r="V74">
        <v>0</v>
      </c>
      <c r="W74">
        <v>0.3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50</v>
      </c>
      <c r="B75" t="s">
        <v>29</v>
      </c>
      <c r="C75">
        <v>23</v>
      </c>
      <c r="D75" t="s">
        <v>47</v>
      </c>
      <c r="E75">
        <v>4</v>
      </c>
      <c r="F75">
        <v>0</v>
      </c>
      <c r="G75">
        <v>6</v>
      </c>
      <c r="H75">
        <v>0.8</v>
      </c>
      <c r="I75">
        <v>2.2999999999999998</v>
      </c>
      <c r="J75">
        <v>3</v>
      </c>
      <c r="K75">
        <v>0.3</v>
      </c>
      <c r="L75">
        <v>0</v>
      </c>
      <c r="M75">
        <v>0.5</v>
      </c>
      <c r="N75">
        <v>1.8</v>
      </c>
      <c r="O75">
        <v>0.3</v>
      </c>
      <c r="P75">
        <v>0</v>
      </c>
      <c r="Q75">
        <v>0.5</v>
      </c>
      <c r="R75">
        <v>0</v>
      </c>
      <c r="S75">
        <v>0</v>
      </c>
      <c r="T75">
        <v>0</v>
      </c>
      <c r="U75">
        <v>0</v>
      </c>
      <c r="V75">
        <v>0</v>
      </c>
      <c r="W75">
        <v>0.5</v>
      </c>
      <c r="X75">
        <v>0</v>
      </c>
      <c r="Y75">
        <v>0</v>
      </c>
      <c r="Z75">
        <v>0.3</v>
      </c>
      <c r="AA75">
        <v>0.5</v>
      </c>
      <c r="AB75">
        <v>0.5</v>
      </c>
    </row>
    <row r="76" spans="1:28" x14ac:dyDescent="0.25">
      <c r="A76" t="s">
        <v>163</v>
      </c>
      <c r="B76" t="s">
        <v>42</v>
      </c>
      <c r="C76">
        <v>33</v>
      </c>
      <c r="D76" t="s">
        <v>74</v>
      </c>
      <c r="E76">
        <v>7</v>
      </c>
      <c r="F76">
        <v>0</v>
      </c>
      <c r="G76">
        <v>6.6</v>
      </c>
      <c r="H76">
        <v>0.1</v>
      </c>
      <c r="I76">
        <v>1.7</v>
      </c>
      <c r="J76">
        <v>1.9</v>
      </c>
      <c r="K76">
        <v>0.4</v>
      </c>
      <c r="L76">
        <v>0.1</v>
      </c>
      <c r="M76">
        <v>0</v>
      </c>
      <c r="N76">
        <v>0.3</v>
      </c>
      <c r="O76">
        <v>0</v>
      </c>
      <c r="P76">
        <v>0</v>
      </c>
      <c r="Q76">
        <v>0.4</v>
      </c>
      <c r="R76">
        <v>0</v>
      </c>
      <c r="S76">
        <v>0</v>
      </c>
      <c r="T76">
        <v>0</v>
      </c>
      <c r="U76">
        <v>0</v>
      </c>
      <c r="V76">
        <v>0</v>
      </c>
      <c r="W76">
        <v>0.4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84</v>
      </c>
      <c r="B77" t="s">
        <v>35</v>
      </c>
      <c r="C77">
        <v>24</v>
      </c>
      <c r="D77" t="s">
        <v>85</v>
      </c>
      <c r="E77">
        <v>5</v>
      </c>
      <c r="F77">
        <v>5</v>
      </c>
      <c r="G77">
        <v>37</v>
      </c>
      <c r="H77">
        <v>0</v>
      </c>
      <c r="I77">
        <v>3.6</v>
      </c>
      <c r="J77">
        <v>3.6</v>
      </c>
      <c r="K77">
        <v>5.4</v>
      </c>
      <c r="L77">
        <v>0.4</v>
      </c>
      <c r="M77">
        <v>2.8</v>
      </c>
      <c r="N77">
        <v>2</v>
      </c>
      <c r="O77">
        <v>16.8</v>
      </c>
      <c r="P77">
        <v>6</v>
      </c>
      <c r="Q77">
        <v>15.6</v>
      </c>
      <c r="R77">
        <v>0.38500000000000001</v>
      </c>
      <c r="S77">
        <v>3</v>
      </c>
      <c r="T77">
        <v>8.6</v>
      </c>
      <c r="U77">
        <v>0.34899999999999998</v>
      </c>
      <c r="V77">
        <v>3</v>
      </c>
      <c r="W77">
        <v>7</v>
      </c>
      <c r="X77">
        <v>0.42899999999999999</v>
      </c>
      <c r="Y77">
        <v>0.48099999999999998</v>
      </c>
      <c r="Z77">
        <v>1.8</v>
      </c>
      <c r="AA77">
        <v>2</v>
      </c>
      <c r="AB77">
        <v>0.9</v>
      </c>
    </row>
    <row r="78" spans="1:28" x14ac:dyDescent="0.25">
      <c r="A78" t="s">
        <v>86</v>
      </c>
      <c r="B78" t="s">
        <v>35</v>
      </c>
      <c r="C78">
        <v>31</v>
      </c>
      <c r="D78" t="s">
        <v>87</v>
      </c>
      <c r="E78">
        <v>4</v>
      </c>
      <c r="F78">
        <v>0</v>
      </c>
      <c r="G78">
        <v>12.8</v>
      </c>
      <c r="H78">
        <v>0.5</v>
      </c>
      <c r="I78">
        <v>0.8</v>
      </c>
      <c r="J78">
        <v>1.3</v>
      </c>
      <c r="K78">
        <v>0.5</v>
      </c>
      <c r="L78">
        <v>0</v>
      </c>
      <c r="M78">
        <v>0.5</v>
      </c>
      <c r="N78">
        <v>1</v>
      </c>
      <c r="O78">
        <v>5.5</v>
      </c>
      <c r="P78">
        <v>1.8</v>
      </c>
      <c r="Q78">
        <v>4.3</v>
      </c>
      <c r="R78">
        <v>0.41199999999999998</v>
      </c>
      <c r="S78">
        <v>1.5</v>
      </c>
      <c r="T78">
        <v>3.3</v>
      </c>
      <c r="U78">
        <v>0.46200000000000002</v>
      </c>
      <c r="V78">
        <v>0.3</v>
      </c>
      <c r="W78">
        <v>1</v>
      </c>
      <c r="X78">
        <v>0.25</v>
      </c>
      <c r="Y78">
        <v>0.58799999999999997</v>
      </c>
      <c r="Z78">
        <v>0.5</v>
      </c>
      <c r="AA78">
        <v>0.5</v>
      </c>
      <c r="AB78">
        <v>1</v>
      </c>
    </row>
    <row r="79" spans="1:28" x14ac:dyDescent="0.25">
      <c r="A79" t="s">
        <v>164</v>
      </c>
      <c r="B79" t="s">
        <v>13</v>
      </c>
      <c r="C79">
        <v>27</v>
      </c>
      <c r="D79" t="s">
        <v>85</v>
      </c>
      <c r="E79">
        <v>5</v>
      </c>
      <c r="F79">
        <v>0</v>
      </c>
      <c r="G79">
        <v>25.2</v>
      </c>
      <c r="H79">
        <v>0.4</v>
      </c>
      <c r="I79">
        <v>2.4</v>
      </c>
      <c r="J79">
        <v>2.8</v>
      </c>
      <c r="K79">
        <v>1.6</v>
      </c>
      <c r="L79">
        <v>0.2</v>
      </c>
      <c r="M79">
        <v>0.8</v>
      </c>
      <c r="N79">
        <v>2.8</v>
      </c>
      <c r="O79">
        <v>4.8</v>
      </c>
      <c r="P79">
        <v>2</v>
      </c>
      <c r="Q79">
        <v>5.6</v>
      </c>
      <c r="R79">
        <v>0.35699999999999998</v>
      </c>
      <c r="S79">
        <v>0.6</v>
      </c>
      <c r="T79">
        <v>3.2</v>
      </c>
      <c r="U79">
        <v>0.188</v>
      </c>
      <c r="V79">
        <v>1.4</v>
      </c>
      <c r="W79">
        <v>2.4</v>
      </c>
      <c r="X79">
        <v>0.58299999999999996</v>
      </c>
      <c r="Y79">
        <v>0.41099999999999998</v>
      </c>
      <c r="Z79">
        <v>0.2</v>
      </c>
      <c r="AA79">
        <v>0.2</v>
      </c>
      <c r="AB79">
        <v>1</v>
      </c>
    </row>
    <row r="80" spans="1:28" x14ac:dyDescent="0.25">
      <c r="A80" t="s">
        <v>165</v>
      </c>
      <c r="B80" t="s">
        <v>32</v>
      </c>
      <c r="C80">
        <v>33</v>
      </c>
      <c r="D80" t="s">
        <v>107</v>
      </c>
      <c r="E80">
        <v>19</v>
      </c>
      <c r="F80">
        <v>19</v>
      </c>
      <c r="G80">
        <v>37.9</v>
      </c>
      <c r="H80">
        <v>1.9</v>
      </c>
      <c r="I80">
        <v>4.2</v>
      </c>
      <c r="J80">
        <v>6.1</v>
      </c>
      <c r="K80">
        <v>4.4000000000000004</v>
      </c>
      <c r="L80">
        <v>1.1000000000000001</v>
      </c>
      <c r="M80">
        <v>1.5</v>
      </c>
      <c r="N80">
        <v>2.1</v>
      </c>
      <c r="O80">
        <v>13.2</v>
      </c>
      <c r="P80">
        <v>5.0999999999999996</v>
      </c>
      <c r="Q80">
        <v>10.199999999999999</v>
      </c>
      <c r="R80">
        <v>0.503</v>
      </c>
      <c r="S80">
        <v>1.8</v>
      </c>
      <c r="T80">
        <v>4.5999999999999996</v>
      </c>
      <c r="U80">
        <v>0.40200000000000002</v>
      </c>
      <c r="V80">
        <v>3.3</v>
      </c>
      <c r="W80">
        <v>5.6</v>
      </c>
      <c r="X80">
        <v>0.58499999999999996</v>
      </c>
      <c r="Y80">
        <v>0.59299999999999997</v>
      </c>
      <c r="Z80">
        <v>1.1000000000000001</v>
      </c>
      <c r="AA80">
        <v>1.2</v>
      </c>
      <c r="AB80">
        <v>0.95499999999999996</v>
      </c>
    </row>
    <row r="81" spans="1:28" x14ac:dyDescent="0.25">
      <c r="A81" t="s">
        <v>88</v>
      </c>
      <c r="B81" t="s">
        <v>35</v>
      </c>
      <c r="C81">
        <v>34</v>
      </c>
      <c r="D81" t="s">
        <v>64</v>
      </c>
      <c r="E81">
        <v>12</v>
      </c>
      <c r="F81">
        <v>0</v>
      </c>
      <c r="G81">
        <v>12.5</v>
      </c>
      <c r="H81">
        <v>0.1</v>
      </c>
      <c r="I81">
        <v>1.6</v>
      </c>
      <c r="J81">
        <v>1.7</v>
      </c>
      <c r="K81">
        <v>0.3</v>
      </c>
      <c r="L81">
        <v>0.5</v>
      </c>
      <c r="M81">
        <v>0.3</v>
      </c>
      <c r="N81">
        <v>1.3</v>
      </c>
      <c r="O81">
        <v>2.9</v>
      </c>
      <c r="P81">
        <v>0.9</v>
      </c>
      <c r="Q81">
        <v>2.9</v>
      </c>
      <c r="R81">
        <v>0.314</v>
      </c>
      <c r="S81">
        <v>0.9</v>
      </c>
      <c r="T81">
        <v>2.4</v>
      </c>
      <c r="U81">
        <v>0.379</v>
      </c>
      <c r="V81">
        <v>0</v>
      </c>
      <c r="W81">
        <v>0.5</v>
      </c>
      <c r="X81">
        <v>0</v>
      </c>
      <c r="Y81">
        <v>0.47099999999999997</v>
      </c>
      <c r="Z81">
        <v>0.2</v>
      </c>
      <c r="AA81">
        <v>0.3</v>
      </c>
      <c r="AB81">
        <v>0.5</v>
      </c>
    </row>
    <row r="82" spans="1:28" x14ac:dyDescent="0.25">
      <c r="A82" t="s">
        <v>166</v>
      </c>
      <c r="B82" t="s">
        <v>29</v>
      </c>
      <c r="C82">
        <v>21</v>
      </c>
      <c r="D82" t="s">
        <v>74</v>
      </c>
      <c r="E82">
        <v>10</v>
      </c>
      <c r="F82">
        <v>10</v>
      </c>
      <c r="G82">
        <v>34.5</v>
      </c>
      <c r="H82">
        <v>1.4</v>
      </c>
      <c r="I82">
        <v>5.8</v>
      </c>
      <c r="J82">
        <v>7.2</v>
      </c>
      <c r="K82">
        <v>2.1</v>
      </c>
      <c r="L82">
        <v>0.7</v>
      </c>
      <c r="M82">
        <v>1.9</v>
      </c>
      <c r="N82">
        <v>2.6</v>
      </c>
      <c r="O82">
        <v>15.6</v>
      </c>
      <c r="P82">
        <v>5.9</v>
      </c>
      <c r="Q82">
        <v>11.9</v>
      </c>
      <c r="R82">
        <v>0.496</v>
      </c>
      <c r="S82">
        <v>1.3</v>
      </c>
      <c r="T82">
        <v>5</v>
      </c>
      <c r="U82">
        <v>0.26</v>
      </c>
      <c r="V82">
        <v>4.5999999999999996</v>
      </c>
      <c r="W82">
        <v>6.9</v>
      </c>
      <c r="X82">
        <v>0.66700000000000004</v>
      </c>
      <c r="Y82">
        <v>0.55000000000000004</v>
      </c>
      <c r="Z82">
        <v>2.5</v>
      </c>
      <c r="AA82">
        <v>3.3</v>
      </c>
      <c r="AB82">
        <v>0.75800000000000001</v>
      </c>
    </row>
    <row r="83" spans="1:28" x14ac:dyDescent="0.25">
      <c r="A83" t="s">
        <v>167</v>
      </c>
      <c r="B83" t="s">
        <v>29</v>
      </c>
      <c r="C83">
        <v>37</v>
      </c>
      <c r="D83" t="s">
        <v>107</v>
      </c>
      <c r="E83">
        <v>19</v>
      </c>
      <c r="F83">
        <v>15</v>
      </c>
      <c r="G83">
        <v>30.3</v>
      </c>
      <c r="H83">
        <v>1.8</v>
      </c>
      <c r="I83">
        <v>5.2</v>
      </c>
      <c r="J83">
        <v>7</v>
      </c>
      <c r="K83">
        <v>2.1</v>
      </c>
      <c r="L83">
        <v>0.8</v>
      </c>
      <c r="M83">
        <v>0.6</v>
      </c>
      <c r="N83">
        <v>1.5</v>
      </c>
      <c r="O83">
        <v>9.1999999999999993</v>
      </c>
      <c r="P83">
        <v>3.5</v>
      </c>
      <c r="Q83">
        <v>7.3</v>
      </c>
      <c r="R83">
        <v>0.47799999999999998</v>
      </c>
      <c r="S83">
        <v>1.8</v>
      </c>
      <c r="T83">
        <v>5</v>
      </c>
      <c r="U83">
        <v>0.36799999999999999</v>
      </c>
      <c r="V83">
        <v>1.6</v>
      </c>
      <c r="W83">
        <v>2.2999999999999998</v>
      </c>
      <c r="X83">
        <v>0.72099999999999997</v>
      </c>
      <c r="Y83">
        <v>0.60499999999999998</v>
      </c>
      <c r="Z83">
        <v>0.4</v>
      </c>
      <c r="AA83">
        <v>0.6</v>
      </c>
      <c r="AB83">
        <v>0.63600000000000001</v>
      </c>
    </row>
    <row r="84" spans="1:28" x14ac:dyDescent="0.25">
      <c r="A84" t="s">
        <v>168</v>
      </c>
      <c r="B84" t="s">
        <v>42</v>
      </c>
      <c r="C84">
        <v>21</v>
      </c>
      <c r="D84" t="s">
        <v>81</v>
      </c>
      <c r="E84">
        <v>3</v>
      </c>
      <c r="F84">
        <v>0</v>
      </c>
      <c r="G84">
        <v>4.7</v>
      </c>
      <c r="H84">
        <v>0.3</v>
      </c>
      <c r="I84">
        <v>0.3</v>
      </c>
      <c r="J84">
        <v>0.7</v>
      </c>
      <c r="K84">
        <v>0</v>
      </c>
      <c r="L84">
        <v>0</v>
      </c>
      <c r="M84">
        <v>0</v>
      </c>
      <c r="N84">
        <v>0</v>
      </c>
      <c r="O84">
        <v>1</v>
      </c>
      <c r="P84">
        <v>0.3</v>
      </c>
      <c r="Q84">
        <v>0.7</v>
      </c>
      <c r="R84">
        <v>0.5</v>
      </c>
      <c r="S84">
        <v>0.3</v>
      </c>
      <c r="T84">
        <v>0.7</v>
      </c>
      <c r="U84">
        <v>0.5</v>
      </c>
      <c r="V84">
        <v>0</v>
      </c>
      <c r="W84">
        <v>0</v>
      </c>
      <c r="X84">
        <v>0</v>
      </c>
      <c r="Y84">
        <v>0.75</v>
      </c>
      <c r="Z84">
        <v>0</v>
      </c>
      <c r="AA84">
        <v>0</v>
      </c>
      <c r="AB84">
        <v>0</v>
      </c>
    </row>
    <row r="85" spans="1:28" x14ac:dyDescent="0.25">
      <c r="A85" t="s">
        <v>169</v>
      </c>
      <c r="B85" t="s">
        <v>42</v>
      </c>
      <c r="C85">
        <v>20</v>
      </c>
      <c r="D85" t="s">
        <v>81</v>
      </c>
      <c r="E85">
        <v>2</v>
      </c>
      <c r="F85">
        <v>0</v>
      </c>
      <c r="G85">
        <v>5</v>
      </c>
      <c r="H85">
        <v>0</v>
      </c>
      <c r="I85">
        <v>0.5</v>
      </c>
      <c r="J85">
        <v>0.5</v>
      </c>
      <c r="K85">
        <v>0.5</v>
      </c>
      <c r="L85">
        <v>0</v>
      </c>
      <c r="M85">
        <v>1</v>
      </c>
      <c r="N85">
        <v>0.5</v>
      </c>
      <c r="O85">
        <v>2.5</v>
      </c>
      <c r="P85">
        <v>1</v>
      </c>
      <c r="Q85">
        <v>1.5</v>
      </c>
      <c r="R85">
        <v>0.66700000000000004</v>
      </c>
      <c r="S85">
        <v>0.5</v>
      </c>
      <c r="T85">
        <v>0.5</v>
      </c>
      <c r="U85">
        <v>1</v>
      </c>
      <c r="V85">
        <v>0.5</v>
      </c>
      <c r="W85">
        <v>1</v>
      </c>
      <c r="X85">
        <v>0.5</v>
      </c>
      <c r="Y85">
        <v>0.83299999999999996</v>
      </c>
      <c r="Z85">
        <v>0</v>
      </c>
      <c r="AA85">
        <v>0</v>
      </c>
      <c r="AB85">
        <v>0</v>
      </c>
    </row>
    <row r="86" spans="1:28" x14ac:dyDescent="0.25">
      <c r="A86" t="s">
        <v>170</v>
      </c>
      <c r="B86" t="s">
        <v>32</v>
      </c>
      <c r="C86">
        <v>23</v>
      </c>
      <c r="D86" t="s">
        <v>95</v>
      </c>
      <c r="E86">
        <v>3</v>
      </c>
      <c r="F86">
        <v>0</v>
      </c>
      <c r="G86">
        <v>4</v>
      </c>
      <c r="H86">
        <v>0</v>
      </c>
      <c r="I86">
        <v>0.7</v>
      </c>
      <c r="J86">
        <v>0.7</v>
      </c>
      <c r="K86">
        <v>1.3</v>
      </c>
      <c r="L86">
        <v>0</v>
      </c>
      <c r="M86">
        <v>0.3</v>
      </c>
      <c r="N86">
        <v>0</v>
      </c>
      <c r="O86">
        <v>3.7</v>
      </c>
      <c r="P86">
        <v>1</v>
      </c>
      <c r="Q86">
        <v>2.2999999999999998</v>
      </c>
      <c r="R86">
        <v>0.42899999999999999</v>
      </c>
      <c r="S86">
        <v>0.3</v>
      </c>
      <c r="T86">
        <v>1.7</v>
      </c>
      <c r="U86">
        <v>0.2</v>
      </c>
      <c r="V86">
        <v>0.7</v>
      </c>
      <c r="W86">
        <v>0.7</v>
      </c>
      <c r="X86">
        <v>1</v>
      </c>
      <c r="Y86">
        <v>0.5</v>
      </c>
      <c r="Z86">
        <v>1.3</v>
      </c>
      <c r="AA86">
        <v>1.3</v>
      </c>
      <c r="AB86">
        <v>1</v>
      </c>
    </row>
    <row r="87" spans="1:28" x14ac:dyDescent="0.25">
      <c r="A87" t="s">
        <v>171</v>
      </c>
      <c r="B87" t="s">
        <v>42</v>
      </c>
      <c r="C87">
        <v>36</v>
      </c>
      <c r="D87" t="s">
        <v>81</v>
      </c>
      <c r="E87">
        <v>7</v>
      </c>
      <c r="F87">
        <v>0</v>
      </c>
      <c r="G87">
        <v>9.6999999999999993</v>
      </c>
      <c r="H87">
        <v>0.3</v>
      </c>
      <c r="I87">
        <v>1.6</v>
      </c>
      <c r="J87">
        <v>1.9</v>
      </c>
      <c r="K87">
        <v>1.7</v>
      </c>
      <c r="L87">
        <v>0.4</v>
      </c>
      <c r="M87">
        <v>0</v>
      </c>
      <c r="N87">
        <v>0.4</v>
      </c>
      <c r="O87">
        <v>1.6</v>
      </c>
      <c r="P87">
        <v>0.6</v>
      </c>
      <c r="Q87">
        <v>1.7</v>
      </c>
      <c r="R87">
        <v>0.33300000000000002</v>
      </c>
      <c r="S87">
        <v>0.3</v>
      </c>
      <c r="T87">
        <v>1</v>
      </c>
      <c r="U87">
        <v>0.28599999999999998</v>
      </c>
      <c r="V87">
        <v>0.3</v>
      </c>
      <c r="W87">
        <v>0.7</v>
      </c>
      <c r="X87">
        <v>0.4</v>
      </c>
      <c r="Y87">
        <v>0.41699999999999998</v>
      </c>
      <c r="Z87">
        <v>0.1</v>
      </c>
      <c r="AA87">
        <v>0.3</v>
      </c>
      <c r="AB87">
        <v>0.5</v>
      </c>
    </row>
    <row r="88" spans="1:28" x14ac:dyDescent="0.25">
      <c r="A88" t="s">
        <v>172</v>
      </c>
      <c r="B88" t="s">
        <v>42</v>
      </c>
      <c r="C88">
        <v>26</v>
      </c>
      <c r="D88" t="s">
        <v>83</v>
      </c>
      <c r="E88">
        <v>4</v>
      </c>
      <c r="F88">
        <v>4</v>
      </c>
      <c r="G88">
        <v>36.299999999999997</v>
      </c>
      <c r="H88">
        <v>0.3</v>
      </c>
      <c r="I88">
        <v>4.3</v>
      </c>
      <c r="J88">
        <v>4.5</v>
      </c>
      <c r="K88">
        <v>3.3</v>
      </c>
      <c r="L88">
        <v>1</v>
      </c>
      <c r="M88">
        <v>2.2999999999999998</v>
      </c>
      <c r="N88">
        <v>2</v>
      </c>
      <c r="O88">
        <v>14.3</v>
      </c>
      <c r="P88">
        <v>4.8</v>
      </c>
      <c r="Q88">
        <v>13.8</v>
      </c>
      <c r="R88">
        <v>0.34499999999999997</v>
      </c>
      <c r="S88">
        <v>0.5</v>
      </c>
      <c r="T88">
        <v>2</v>
      </c>
      <c r="U88">
        <v>0.25</v>
      </c>
      <c r="V88">
        <v>4.3</v>
      </c>
      <c r="W88">
        <v>11.8</v>
      </c>
      <c r="X88">
        <v>0.36199999999999999</v>
      </c>
      <c r="Y88">
        <v>0.36399999999999999</v>
      </c>
      <c r="Z88">
        <v>4.3</v>
      </c>
      <c r="AA88">
        <v>4.8</v>
      </c>
      <c r="AB88">
        <v>0.89500000000000002</v>
      </c>
    </row>
    <row r="89" spans="1:28" x14ac:dyDescent="0.25">
      <c r="A89" t="s">
        <v>89</v>
      </c>
      <c r="B89" t="s">
        <v>35</v>
      </c>
      <c r="C89">
        <v>31</v>
      </c>
      <c r="D89" t="s">
        <v>78</v>
      </c>
      <c r="E89">
        <v>22</v>
      </c>
      <c r="F89">
        <v>22</v>
      </c>
      <c r="G89">
        <v>40</v>
      </c>
      <c r="H89">
        <v>1</v>
      </c>
      <c r="I89">
        <v>2.7</v>
      </c>
      <c r="J89">
        <v>3.7</v>
      </c>
      <c r="K89">
        <v>5.0999999999999996</v>
      </c>
      <c r="L89">
        <v>1</v>
      </c>
      <c r="M89">
        <v>2.2999999999999998</v>
      </c>
      <c r="N89">
        <v>2.8</v>
      </c>
      <c r="O89">
        <v>22.1</v>
      </c>
      <c r="P89">
        <v>8.5</v>
      </c>
      <c r="Q89">
        <v>18.100000000000001</v>
      </c>
      <c r="R89">
        <v>0.46700000000000003</v>
      </c>
      <c r="S89">
        <v>2.4</v>
      </c>
      <c r="T89">
        <v>6.2</v>
      </c>
      <c r="U89">
        <v>0.39</v>
      </c>
      <c r="V89">
        <v>6</v>
      </c>
      <c r="W89">
        <v>11.9</v>
      </c>
      <c r="X89">
        <v>0.50800000000000001</v>
      </c>
      <c r="Y89">
        <v>0.53400000000000003</v>
      </c>
      <c r="Z89">
        <v>2.8</v>
      </c>
      <c r="AA89">
        <v>3.3</v>
      </c>
      <c r="AB89">
        <v>0.84899999999999998</v>
      </c>
    </row>
    <row r="90" spans="1:28" x14ac:dyDescent="0.25">
      <c r="A90" t="s">
        <v>173</v>
      </c>
      <c r="B90" t="s">
        <v>13</v>
      </c>
      <c r="C90">
        <v>26</v>
      </c>
      <c r="D90" t="s">
        <v>81</v>
      </c>
      <c r="E90">
        <v>7</v>
      </c>
      <c r="F90">
        <v>3</v>
      </c>
      <c r="G90">
        <v>21</v>
      </c>
      <c r="H90">
        <v>1.4</v>
      </c>
      <c r="I90">
        <v>3.4</v>
      </c>
      <c r="J90">
        <v>4.9000000000000004</v>
      </c>
      <c r="K90">
        <v>0.4</v>
      </c>
      <c r="L90">
        <v>0.7</v>
      </c>
      <c r="M90">
        <v>0.6</v>
      </c>
      <c r="N90">
        <v>1</v>
      </c>
      <c r="O90">
        <v>6.3</v>
      </c>
      <c r="P90">
        <v>2.2999999999999998</v>
      </c>
      <c r="Q90">
        <v>5.6</v>
      </c>
      <c r="R90">
        <v>0.41</v>
      </c>
      <c r="S90">
        <v>1.4</v>
      </c>
      <c r="T90">
        <v>3.9</v>
      </c>
      <c r="U90">
        <v>0.37</v>
      </c>
      <c r="V90">
        <v>0.9</v>
      </c>
      <c r="W90">
        <v>1.7</v>
      </c>
      <c r="X90">
        <v>0.5</v>
      </c>
      <c r="Y90">
        <v>0.53800000000000003</v>
      </c>
      <c r="Z90">
        <v>0.3</v>
      </c>
      <c r="AA90">
        <v>0.3</v>
      </c>
      <c r="AB90">
        <v>1</v>
      </c>
    </row>
    <row r="91" spans="1:28" x14ac:dyDescent="0.25">
      <c r="A91" t="s">
        <v>90</v>
      </c>
      <c r="B91" t="s">
        <v>35</v>
      </c>
      <c r="C91">
        <v>22</v>
      </c>
      <c r="D91" t="s">
        <v>62</v>
      </c>
      <c r="E91">
        <v>5</v>
      </c>
      <c r="F91">
        <v>0</v>
      </c>
      <c r="G91">
        <v>12</v>
      </c>
      <c r="H91">
        <v>1</v>
      </c>
      <c r="I91">
        <v>1.2</v>
      </c>
      <c r="J91">
        <v>2.2000000000000002</v>
      </c>
      <c r="K91">
        <v>2</v>
      </c>
      <c r="L91">
        <v>1</v>
      </c>
      <c r="M91">
        <v>0.6</v>
      </c>
      <c r="N91">
        <v>2</v>
      </c>
      <c r="O91">
        <v>2.4</v>
      </c>
      <c r="P91">
        <v>1</v>
      </c>
      <c r="Q91">
        <v>2.2000000000000002</v>
      </c>
      <c r="R91">
        <v>0.45500000000000002</v>
      </c>
      <c r="S91">
        <v>0.4</v>
      </c>
      <c r="T91">
        <v>1.2</v>
      </c>
      <c r="U91">
        <v>0.33300000000000002</v>
      </c>
      <c r="V91">
        <v>0.6</v>
      </c>
      <c r="W91">
        <v>1</v>
      </c>
      <c r="X91">
        <v>0.6</v>
      </c>
      <c r="Y91">
        <v>0.54500000000000004</v>
      </c>
      <c r="Z91">
        <v>0</v>
      </c>
      <c r="AA91">
        <v>0</v>
      </c>
      <c r="AB91">
        <v>0</v>
      </c>
    </row>
    <row r="92" spans="1:28" x14ac:dyDescent="0.25">
      <c r="A92" t="s">
        <v>174</v>
      </c>
      <c r="B92" t="s">
        <v>29</v>
      </c>
      <c r="C92">
        <v>22</v>
      </c>
      <c r="D92" t="s">
        <v>66</v>
      </c>
      <c r="E92">
        <v>15</v>
      </c>
      <c r="F92">
        <v>0</v>
      </c>
      <c r="G92">
        <v>10.3</v>
      </c>
      <c r="H92">
        <v>1.4</v>
      </c>
      <c r="I92">
        <v>1.8</v>
      </c>
      <c r="J92">
        <v>3.2</v>
      </c>
      <c r="K92">
        <v>0.5</v>
      </c>
      <c r="L92">
        <v>0.2</v>
      </c>
      <c r="M92">
        <v>0.3</v>
      </c>
      <c r="N92">
        <v>1.6</v>
      </c>
      <c r="O92">
        <v>3.8</v>
      </c>
      <c r="P92">
        <v>1.5</v>
      </c>
      <c r="Q92">
        <v>2.9</v>
      </c>
      <c r="R92">
        <v>0.53500000000000003</v>
      </c>
      <c r="S92">
        <v>0</v>
      </c>
      <c r="T92">
        <v>0</v>
      </c>
      <c r="U92">
        <v>0</v>
      </c>
      <c r="V92">
        <v>1.5</v>
      </c>
      <c r="W92">
        <v>2.9</v>
      </c>
      <c r="X92">
        <v>0.53500000000000003</v>
      </c>
      <c r="Y92">
        <v>0.53500000000000003</v>
      </c>
      <c r="Z92">
        <v>0.7</v>
      </c>
      <c r="AA92">
        <v>1.2</v>
      </c>
      <c r="AB92">
        <v>0.61099999999999999</v>
      </c>
    </row>
    <row r="93" spans="1:28" x14ac:dyDescent="0.25">
      <c r="A93" t="s">
        <v>175</v>
      </c>
      <c r="B93" t="s">
        <v>32</v>
      </c>
      <c r="C93">
        <v>33</v>
      </c>
      <c r="D93" t="s">
        <v>64</v>
      </c>
      <c r="E93">
        <v>12</v>
      </c>
      <c r="F93">
        <v>0</v>
      </c>
      <c r="G93">
        <v>9.8000000000000007</v>
      </c>
      <c r="H93">
        <v>0.2</v>
      </c>
      <c r="I93">
        <v>1.1000000000000001</v>
      </c>
      <c r="J93">
        <v>1.3</v>
      </c>
      <c r="K93">
        <v>1</v>
      </c>
      <c r="L93">
        <v>0.2</v>
      </c>
      <c r="M93">
        <v>0.7</v>
      </c>
      <c r="N93">
        <v>1</v>
      </c>
      <c r="O93">
        <v>3.5</v>
      </c>
      <c r="P93">
        <v>1.3</v>
      </c>
      <c r="Q93">
        <v>4</v>
      </c>
      <c r="R93">
        <v>0.33300000000000002</v>
      </c>
      <c r="S93">
        <v>0.7</v>
      </c>
      <c r="T93">
        <v>1.9</v>
      </c>
      <c r="U93">
        <v>0.34799999999999998</v>
      </c>
      <c r="V93">
        <v>0.7</v>
      </c>
      <c r="W93">
        <v>2.1</v>
      </c>
      <c r="X93">
        <v>0.32</v>
      </c>
      <c r="Y93">
        <v>0.41699999999999998</v>
      </c>
      <c r="Z93">
        <v>0.2</v>
      </c>
      <c r="AA93">
        <v>0.2</v>
      </c>
      <c r="AB93">
        <v>1</v>
      </c>
    </row>
    <row r="94" spans="1:28" x14ac:dyDescent="0.25">
      <c r="A94" t="s">
        <v>51</v>
      </c>
      <c r="B94" t="s">
        <v>13</v>
      </c>
      <c r="C94">
        <v>39</v>
      </c>
      <c r="D94" t="s">
        <v>47</v>
      </c>
      <c r="E94">
        <v>5</v>
      </c>
      <c r="F94">
        <v>5</v>
      </c>
      <c r="G94">
        <v>40.799999999999997</v>
      </c>
      <c r="H94">
        <v>0.8</v>
      </c>
      <c r="I94">
        <v>6</v>
      </c>
      <c r="J94">
        <v>6.8</v>
      </c>
      <c r="K94">
        <v>8.8000000000000007</v>
      </c>
      <c r="L94">
        <v>2.4</v>
      </c>
      <c r="M94">
        <v>3.8</v>
      </c>
      <c r="N94">
        <v>2.2000000000000002</v>
      </c>
      <c r="O94">
        <v>27.8</v>
      </c>
      <c r="P94">
        <v>11.2</v>
      </c>
      <c r="Q94">
        <v>19.8</v>
      </c>
      <c r="R94">
        <v>0.56599999999999995</v>
      </c>
      <c r="S94">
        <v>2</v>
      </c>
      <c r="T94">
        <v>5.2</v>
      </c>
      <c r="U94">
        <v>0.38500000000000001</v>
      </c>
      <c r="V94">
        <v>9.1999999999999993</v>
      </c>
      <c r="W94">
        <v>14.6</v>
      </c>
      <c r="X94">
        <v>0.63</v>
      </c>
      <c r="Y94">
        <v>0.61599999999999999</v>
      </c>
      <c r="Z94">
        <v>3.4</v>
      </c>
      <c r="AA94">
        <v>4.5999999999999996</v>
      </c>
      <c r="AB94">
        <v>0.73899999999999999</v>
      </c>
    </row>
    <row r="95" spans="1:28" x14ac:dyDescent="0.25">
      <c r="A95" t="s">
        <v>176</v>
      </c>
      <c r="B95" t="s">
        <v>42</v>
      </c>
      <c r="C95">
        <v>22</v>
      </c>
      <c r="D95" t="s">
        <v>85</v>
      </c>
      <c r="E95">
        <v>4</v>
      </c>
      <c r="F95">
        <v>4</v>
      </c>
      <c r="G95">
        <v>30.8</v>
      </c>
      <c r="H95">
        <v>0.5</v>
      </c>
      <c r="I95">
        <v>2.8</v>
      </c>
      <c r="J95">
        <v>3.3</v>
      </c>
      <c r="K95">
        <v>3</v>
      </c>
      <c r="L95">
        <v>0.8</v>
      </c>
      <c r="M95">
        <v>1.8</v>
      </c>
      <c r="N95">
        <v>1.5</v>
      </c>
      <c r="O95">
        <v>12.8</v>
      </c>
      <c r="P95">
        <v>5.3</v>
      </c>
      <c r="Q95">
        <v>13</v>
      </c>
      <c r="R95">
        <v>0.40400000000000003</v>
      </c>
      <c r="S95">
        <v>0.8</v>
      </c>
      <c r="T95">
        <v>3.3</v>
      </c>
      <c r="U95">
        <v>0.23100000000000001</v>
      </c>
      <c r="V95">
        <v>4.5</v>
      </c>
      <c r="W95">
        <v>9.8000000000000007</v>
      </c>
      <c r="X95">
        <v>0.46200000000000002</v>
      </c>
      <c r="Y95">
        <v>0.433</v>
      </c>
      <c r="Z95">
        <v>1.5</v>
      </c>
      <c r="AA95">
        <v>1.8</v>
      </c>
      <c r="AB95">
        <v>0.85699999999999998</v>
      </c>
    </row>
    <row r="96" spans="1:28" x14ac:dyDescent="0.25">
      <c r="A96" t="s">
        <v>91</v>
      </c>
      <c r="B96" t="s">
        <v>35</v>
      </c>
      <c r="C96">
        <v>26</v>
      </c>
      <c r="D96" t="s">
        <v>71</v>
      </c>
      <c r="E96">
        <v>4</v>
      </c>
      <c r="F96">
        <v>0</v>
      </c>
      <c r="G96">
        <v>5</v>
      </c>
      <c r="H96">
        <v>0.3</v>
      </c>
      <c r="I96">
        <v>0.8</v>
      </c>
      <c r="J96">
        <v>1</v>
      </c>
      <c r="K96">
        <v>0</v>
      </c>
      <c r="L96">
        <v>0.3</v>
      </c>
      <c r="M96">
        <v>0</v>
      </c>
      <c r="N96">
        <v>0.5</v>
      </c>
      <c r="O96">
        <v>2</v>
      </c>
      <c r="P96">
        <v>0.8</v>
      </c>
      <c r="Q96">
        <v>2</v>
      </c>
      <c r="R96">
        <v>0.375</v>
      </c>
      <c r="S96">
        <v>0.5</v>
      </c>
      <c r="T96">
        <v>1.3</v>
      </c>
      <c r="U96">
        <v>0.4</v>
      </c>
      <c r="V96">
        <v>0.3</v>
      </c>
      <c r="W96">
        <v>0.8</v>
      </c>
      <c r="X96">
        <v>0.33300000000000002</v>
      </c>
      <c r="Y96">
        <v>0.5</v>
      </c>
      <c r="Z96">
        <v>0</v>
      </c>
      <c r="AA96">
        <v>0</v>
      </c>
      <c r="AB96">
        <v>0</v>
      </c>
    </row>
    <row r="97" spans="1:28" x14ac:dyDescent="0.25">
      <c r="A97" t="s">
        <v>92</v>
      </c>
      <c r="B97" t="s">
        <v>35</v>
      </c>
      <c r="C97">
        <v>24</v>
      </c>
      <c r="D97" t="s">
        <v>74</v>
      </c>
      <c r="E97">
        <v>10</v>
      </c>
      <c r="F97">
        <v>2</v>
      </c>
      <c r="G97">
        <v>17.3</v>
      </c>
      <c r="H97">
        <v>0.4</v>
      </c>
      <c r="I97">
        <v>1.8</v>
      </c>
      <c r="J97">
        <v>2.2000000000000002</v>
      </c>
      <c r="K97">
        <v>1</v>
      </c>
      <c r="L97">
        <v>0.5</v>
      </c>
      <c r="M97">
        <v>0.5</v>
      </c>
      <c r="N97">
        <v>1</v>
      </c>
      <c r="O97">
        <v>6.4</v>
      </c>
      <c r="P97">
        <v>2.4</v>
      </c>
      <c r="Q97">
        <v>5.4</v>
      </c>
      <c r="R97">
        <v>0.44400000000000001</v>
      </c>
      <c r="S97">
        <v>1.6</v>
      </c>
      <c r="T97">
        <v>3.9</v>
      </c>
      <c r="U97">
        <v>0.41</v>
      </c>
      <c r="V97">
        <v>0.8</v>
      </c>
      <c r="W97">
        <v>1.5</v>
      </c>
      <c r="X97">
        <v>0.53300000000000003</v>
      </c>
      <c r="Y97">
        <v>0.59299999999999997</v>
      </c>
      <c r="Z97">
        <v>0</v>
      </c>
      <c r="AA97">
        <v>0</v>
      </c>
      <c r="AB97">
        <v>0</v>
      </c>
    </row>
    <row r="98" spans="1:28" x14ac:dyDescent="0.25">
      <c r="A98" t="s">
        <v>177</v>
      </c>
      <c r="B98" t="s">
        <v>13</v>
      </c>
      <c r="C98">
        <v>36</v>
      </c>
      <c r="D98" t="s">
        <v>66</v>
      </c>
      <c r="E98">
        <v>1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2</v>
      </c>
      <c r="AB98">
        <v>0.5</v>
      </c>
    </row>
    <row r="99" spans="1:28" x14ac:dyDescent="0.25">
      <c r="A99" t="s">
        <v>178</v>
      </c>
      <c r="B99" t="s">
        <v>29</v>
      </c>
      <c r="C99">
        <v>28</v>
      </c>
      <c r="D99" t="s">
        <v>64</v>
      </c>
      <c r="E99">
        <v>12</v>
      </c>
      <c r="F99">
        <v>12</v>
      </c>
      <c r="G99">
        <v>40.200000000000003</v>
      </c>
      <c r="H99">
        <v>3.6</v>
      </c>
      <c r="I99">
        <v>9.8000000000000007</v>
      </c>
      <c r="J99">
        <v>13.4</v>
      </c>
      <c r="K99">
        <v>8.6999999999999993</v>
      </c>
      <c r="L99">
        <v>1.4</v>
      </c>
      <c r="M99">
        <v>3.3</v>
      </c>
      <c r="N99">
        <v>2.7</v>
      </c>
      <c r="O99">
        <v>28.7</v>
      </c>
      <c r="P99">
        <v>11.1</v>
      </c>
      <c r="Q99">
        <v>20.3</v>
      </c>
      <c r="R99">
        <v>0.54500000000000004</v>
      </c>
      <c r="S99">
        <v>1.2</v>
      </c>
      <c r="T99">
        <v>4.4000000000000004</v>
      </c>
      <c r="U99">
        <v>0.26400000000000001</v>
      </c>
      <c r="V99">
        <v>9.9</v>
      </c>
      <c r="W99">
        <v>15.9</v>
      </c>
      <c r="X99">
        <v>0.623</v>
      </c>
      <c r="Y99">
        <v>0.57399999999999995</v>
      </c>
      <c r="Z99">
        <v>5.3</v>
      </c>
      <c r="AA99">
        <v>5.9</v>
      </c>
      <c r="AB99">
        <v>0.90100000000000002</v>
      </c>
    </row>
    <row r="100" spans="1:28" x14ac:dyDescent="0.25">
      <c r="A100" t="s">
        <v>33</v>
      </c>
      <c r="B100" t="s">
        <v>29</v>
      </c>
      <c r="C100">
        <v>28</v>
      </c>
      <c r="D100" t="s">
        <v>30</v>
      </c>
      <c r="E100">
        <v>2</v>
      </c>
      <c r="F100">
        <v>0</v>
      </c>
      <c r="G100">
        <v>4.5</v>
      </c>
      <c r="H100">
        <v>0.5</v>
      </c>
      <c r="I100">
        <v>0.5</v>
      </c>
      <c r="J100">
        <v>1</v>
      </c>
      <c r="K100">
        <v>1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 x14ac:dyDescent="0.25">
      <c r="A101" t="s">
        <v>179</v>
      </c>
      <c r="B101" t="s">
        <v>42</v>
      </c>
      <c r="C101">
        <v>26</v>
      </c>
      <c r="D101" t="s">
        <v>78</v>
      </c>
      <c r="E101">
        <v>22</v>
      </c>
      <c r="F101">
        <v>22</v>
      </c>
      <c r="G101">
        <v>29.4</v>
      </c>
      <c r="H101">
        <v>1.5</v>
      </c>
      <c r="I101">
        <v>2</v>
      </c>
      <c r="J101">
        <v>3.5</v>
      </c>
      <c r="K101">
        <v>1.2</v>
      </c>
      <c r="L101">
        <v>0.5</v>
      </c>
      <c r="M101">
        <v>0.8</v>
      </c>
      <c r="N101">
        <v>2.5</v>
      </c>
      <c r="O101">
        <v>9.1</v>
      </c>
      <c r="P101">
        <v>3.5</v>
      </c>
      <c r="Q101">
        <v>7.3</v>
      </c>
      <c r="R101">
        <v>0.48099999999999998</v>
      </c>
      <c r="S101">
        <v>1.1000000000000001</v>
      </c>
      <c r="T101">
        <v>3</v>
      </c>
      <c r="U101">
        <v>0.36899999999999999</v>
      </c>
      <c r="V101">
        <v>2.4</v>
      </c>
      <c r="W101">
        <v>4.3</v>
      </c>
      <c r="X101">
        <v>0.55800000000000005</v>
      </c>
      <c r="Y101">
        <v>0.55600000000000005</v>
      </c>
      <c r="Z101">
        <v>1</v>
      </c>
      <c r="AA101">
        <v>1.4</v>
      </c>
      <c r="AB101">
        <v>0.73299999999999998</v>
      </c>
    </row>
    <row r="102" spans="1:28" x14ac:dyDescent="0.25">
      <c r="A102" t="s">
        <v>180</v>
      </c>
      <c r="B102" t="s">
        <v>42</v>
      </c>
      <c r="C102">
        <v>25</v>
      </c>
      <c r="D102" t="s">
        <v>83</v>
      </c>
      <c r="E102">
        <v>4</v>
      </c>
      <c r="F102">
        <v>4</v>
      </c>
      <c r="G102">
        <v>35.299999999999997</v>
      </c>
      <c r="H102">
        <v>1.5</v>
      </c>
      <c r="I102">
        <v>3.5</v>
      </c>
      <c r="J102">
        <v>5</v>
      </c>
      <c r="K102">
        <v>2.5</v>
      </c>
      <c r="L102">
        <v>1.3</v>
      </c>
      <c r="M102">
        <v>2.8</v>
      </c>
      <c r="N102">
        <v>3.8</v>
      </c>
      <c r="O102">
        <v>13</v>
      </c>
      <c r="P102">
        <v>4</v>
      </c>
      <c r="Q102">
        <v>10.3</v>
      </c>
      <c r="R102">
        <v>0.39</v>
      </c>
      <c r="S102">
        <v>2</v>
      </c>
      <c r="T102">
        <v>6</v>
      </c>
      <c r="U102">
        <v>0.33300000000000002</v>
      </c>
      <c r="V102">
        <v>2</v>
      </c>
      <c r="W102">
        <v>4.3</v>
      </c>
      <c r="X102">
        <v>0.47099999999999997</v>
      </c>
      <c r="Y102">
        <v>0.48799999999999999</v>
      </c>
      <c r="Z102">
        <v>3</v>
      </c>
      <c r="AA102">
        <v>3</v>
      </c>
      <c r="AB102">
        <v>1</v>
      </c>
    </row>
    <row r="103" spans="1:28" x14ac:dyDescent="0.25">
      <c r="A103" t="s">
        <v>181</v>
      </c>
      <c r="B103" t="s">
        <v>29</v>
      </c>
      <c r="C103">
        <v>35</v>
      </c>
      <c r="D103" t="s">
        <v>64</v>
      </c>
      <c r="E103">
        <v>2</v>
      </c>
      <c r="F103">
        <v>0</v>
      </c>
      <c r="G103">
        <v>6.5</v>
      </c>
      <c r="H103">
        <v>0.5</v>
      </c>
      <c r="I103">
        <v>1</v>
      </c>
      <c r="J103">
        <v>1.5</v>
      </c>
      <c r="K103">
        <v>0</v>
      </c>
      <c r="L103">
        <v>0.5</v>
      </c>
      <c r="M103">
        <v>0</v>
      </c>
      <c r="N103">
        <v>2</v>
      </c>
      <c r="O103">
        <v>2</v>
      </c>
      <c r="P103">
        <v>0.5</v>
      </c>
      <c r="Q103">
        <v>1</v>
      </c>
      <c r="R103">
        <v>0.5</v>
      </c>
      <c r="S103">
        <v>0</v>
      </c>
      <c r="T103">
        <v>0</v>
      </c>
      <c r="U103">
        <v>0</v>
      </c>
      <c r="V103">
        <v>0.5</v>
      </c>
      <c r="W103">
        <v>1</v>
      </c>
      <c r="X103">
        <v>0.5</v>
      </c>
      <c r="Y103">
        <v>0.5</v>
      </c>
      <c r="Z103">
        <v>1</v>
      </c>
      <c r="AA103">
        <v>1</v>
      </c>
      <c r="AB103">
        <v>1</v>
      </c>
    </row>
    <row r="104" spans="1:28" x14ac:dyDescent="0.25">
      <c r="A104" t="s">
        <v>182</v>
      </c>
      <c r="B104" t="s">
        <v>13</v>
      </c>
      <c r="C104">
        <v>20</v>
      </c>
      <c r="D104" t="s">
        <v>85</v>
      </c>
      <c r="E104">
        <v>5</v>
      </c>
      <c r="F104">
        <v>5</v>
      </c>
      <c r="G104">
        <v>25.6</v>
      </c>
      <c r="H104">
        <v>0.4</v>
      </c>
      <c r="I104">
        <v>6.2</v>
      </c>
      <c r="J104">
        <v>6.6</v>
      </c>
      <c r="K104">
        <v>2.2000000000000002</v>
      </c>
      <c r="L104">
        <v>1</v>
      </c>
      <c r="M104">
        <v>1.2</v>
      </c>
      <c r="N104">
        <v>1.8</v>
      </c>
      <c r="O104">
        <v>9.4</v>
      </c>
      <c r="P104">
        <v>3.2</v>
      </c>
      <c r="Q104">
        <v>7.2</v>
      </c>
      <c r="R104">
        <v>0.44400000000000001</v>
      </c>
      <c r="S104">
        <v>1.8</v>
      </c>
      <c r="T104">
        <v>4.4000000000000004</v>
      </c>
      <c r="U104">
        <v>0.40899999999999997</v>
      </c>
      <c r="V104">
        <v>1.4</v>
      </c>
      <c r="W104">
        <v>2.8</v>
      </c>
      <c r="X104">
        <v>0.5</v>
      </c>
      <c r="Y104">
        <v>0.56899999999999995</v>
      </c>
      <c r="Z104">
        <v>1.2</v>
      </c>
      <c r="AA104">
        <v>1.4</v>
      </c>
      <c r="AB104">
        <v>0.85699999999999998</v>
      </c>
    </row>
    <row r="105" spans="1:28" x14ac:dyDescent="0.25">
      <c r="A105" t="s">
        <v>183</v>
      </c>
      <c r="B105" t="s">
        <v>29</v>
      </c>
      <c r="C105">
        <v>32</v>
      </c>
      <c r="D105" t="s">
        <v>78</v>
      </c>
      <c r="E105">
        <v>13</v>
      </c>
      <c r="F105">
        <v>0</v>
      </c>
      <c r="G105">
        <v>16.8</v>
      </c>
      <c r="H105">
        <v>0.3</v>
      </c>
      <c r="I105">
        <v>1.6</v>
      </c>
      <c r="J105">
        <v>1.9</v>
      </c>
      <c r="K105">
        <v>1</v>
      </c>
      <c r="L105">
        <v>0.2</v>
      </c>
      <c r="M105">
        <v>0.4</v>
      </c>
      <c r="N105">
        <v>1.5</v>
      </c>
      <c r="O105">
        <v>3.7</v>
      </c>
      <c r="P105">
        <v>1.2</v>
      </c>
      <c r="Q105">
        <v>3</v>
      </c>
      <c r="R105">
        <v>0.41</v>
      </c>
      <c r="S105">
        <v>0.9</v>
      </c>
      <c r="T105">
        <v>2.2000000000000002</v>
      </c>
      <c r="U105">
        <v>0.42899999999999999</v>
      </c>
      <c r="V105">
        <v>0.3</v>
      </c>
      <c r="W105">
        <v>0.8</v>
      </c>
      <c r="X105">
        <v>0.36399999999999999</v>
      </c>
      <c r="Y105">
        <v>0.56399999999999995</v>
      </c>
      <c r="Z105">
        <v>0.3</v>
      </c>
      <c r="AA105">
        <v>0.5</v>
      </c>
      <c r="AB105">
        <v>0.66700000000000004</v>
      </c>
    </row>
    <row r="106" spans="1:28" x14ac:dyDescent="0.25">
      <c r="A106" t="s">
        <v>184</v>
      </c>
      <c r="B106" t="s">
        <v>29</v>
      </c>
      <c r="C106">
        <v>28</v>
      </c>
      <c r="D106" t="s">
        <v>107</v>
      </c>
      <c r="E106">
        <v>13</v>
      </c>
      <c r="F106">
        <v>0</v>
      </c>
      <c r="G106">
        <v>10.199999999999999</v>
      </c>
      <c r="H106">
        <v>1.5</v>
      </c>
      <c r="I106">
        <v>1.7</v>
      </c>
      <c r="J106">
        <v>3.2</v>
      </c>
      <c r="K106">
        <v>0.5</v>
      </c>
      <c r="L106">
        <v>0.1</v>
      </c>
      <c r="M106">
        <v>0.5</v>
      </c>
      <c r="N106">
        <v>0.8</v>
      </c>
      <c r="O106">
        <v>3</v>
      </c>
      <c r="P106">
        <v>1.1000000000000001</v>
      </c>
      <c r="Q106">
        <v>1.6</v>
      </c>
      <c r="R106">
        <v>0.66700000000000004</v>
      </c>
      <c r="S106">
        <v>0</v>
      </c>
      <c r="T106">
        <v>0</v>
      </c>
      <c r="U106">
        <v>0</v>
      </c>
      <c r="V106">
        <v>1.1000000000000001</v>
      </c>
      <c r="W106">
        <v>1.6</v>
      </c>
      <c r="X106">
        <v>0.66700000000000004</v>
      </c>
      <c r="Y106">
        <v>0.66700000000000004</v>
      </c>
      <c r="Z106">
        <v>0.8</v>
      </c>
      <c r="AA106">
        <v>1</v>
      </c>
      <c r="AB106">
        <v>0.84599999999999997</v>
      </c>
    </row>
    <row r="107" spans="1:28" x14ac:dyDescent="0.25">
      <c r="A107" t="s">
        <v>93</v>
      </c>
      <c r="B107" t="s">
        <v>35</v>
      </c>
      <c r="C107">
        <v>23</v>
      </c>
      <c r="D107" t="s">
        <v>78</v>
      </c>
      <c r="E107">
        <v>10</v>
      </c>
      <c r="F107">
        <v>0</v>
      </c>
      <c r="G107">
        <v>3</v>
      </c>
      <c r="H107">
        <v>0.1</v>
      </c>
      <c r="I107">
        <v>0.2</v>
      </c>
      <c r="J107">
        <v>0.3</v>
      </c>
      <c r="K107">
        <v>0</v>
      </c>
      <c r="L107">
        <v>0</v>
      </c>
      <c r="M107">
        <v>0</v>
      </c>
      <c r="N107">
        <v>0.1</v>
      </c>
      <c r="O107">
        <v>1.1000000000000001</v>
      </c>
      <c r="P107">
        <v>0.4</v>
      </c>
      <c r="Q107">
        <v>0.9</v>
      </c>
      <c r="R107">
        <v>0.44400000000000001</v>
      </c>
      <c r="S107">
        <v>0.2</v>
      </c>
      <c r="T107">
        <v>0.6</v>
      </c>
      <c r="U107">
        <v>0.33300000000000002</v>
      </c>
      <c r="V107">
        <v>0.2</v>
      </c>
      <c r="W107">
        <v>0.3</v>
      </c>
      <c r="X107">
        <v>0.66700000000000004</v>
      </c>
      <c r="Y107">
        <v>0.55600000000000005</v>
      </c>
      <c r="Z107">
        <v>0.1</v>
      </c>
      <c r="AA107">
        <v>0.2</v>
      </c>
      <c r="AB107">
        <v>0.5</v>
      </c>
    </row>
    <row r="108" spans="1:28" x14ac:dyDescent="0.25">
      <c r="A108" t="s">
        <v>185</v>
      </c>
      <c r="B108" t="s">
        <v>42</v>
      </c>
      <c r="C108">
        <v>32</v>
      </c>
      <c r="D108" t="s">
        <v>95</v>
      </c>
      <c r="E108">
        <v>2</v>
      </c>
      <c r="F108">
        <v>2</v>
      </c>
      <c r="G108">
        <v>29.5</v>
      </c>
      <c r="H108">
        <v>1.5</v>
      </c>
      <c r="I108">
        <v>6.5</v>
      </c>
      <c r="J108">
        <v>8</v>
      </c>
      <c r="K108">
        <v>2</v>
      </c>
      <c r="L108">
        <v>2</v>
      </c>
      <c r="M108">
        <v>2</v>
      </c>
      <c r="N108">
        <v>1.5</v>
      </c>
      <c r="O108">
        <v>12</v>
      </c>
      <c r="P108">
        <v>5.5</v>
      </c>
      <c r="Q108">
        <v>12</v>
      </c>
      <c r="R108">
        <v>0.45800000000000002</v>
      </c>
      <c r="S108">
        <v>0</v>
      </c>
      <c r="T108">
        <v>2.5</v>
      </c>
      <c r="U108">
        <v>0</v>
      </c>
      <c r="V108">
        <v>5.5</v>
      </c>
      <c r="W108">
        <v>9.5</v>
      </c>
      <c r="X108">
        <v>0.57899999999999996</v>
      </c>
      <c r="Y108">
        <v>0.45800000000000002</v>
      </c>
      <c r="Z108">
        <v>1</v>
      </c>
      <c r="AA108">
        <v>1.5</v>
      </c>
      <c r="AB108">
        <v>0.66700000000000004</v>
      </c>
    </row>
    <row r="109" spans="1:28" x14ac:dyDescent="0.25">
      <c r="A109" t="s">
        <v>34</v>
      </c>
      <c r="B109" t="s">
        <v>35</v>
      </c>
      <c r="C109">
        <v>29</v>
      </c>
      <c r="D109" t="s">
        <v>30</v>
      </c>
      <c r="E109">
        <v>11</v>
      </c>
      <c r="F109">
        <v>1</v>
      </c>
      <c r="G109">
        <v>25.3</v>
      </c>
      <c r="H109">
        <v>0.7</v>
      </c>
      <c r="I109">
        <v>2.9</v>
      </c>
      <c r="J109">
        <v>3.6</v>
      </c>
      <c r="K109">
        <v>2.2999999999999998</v>
      </c>
      <c r="L109">
        <v>0.8</v>
      </c>
      <c r="M109">
        <v>1.3</v>
      </c>
      <c r="N109">
        <v>1.3</v>
      </c>
      <c r="O109">
        <v>10.1</v>
      </c>
      <c r="P109">
        <v>4</v>
      </c>
      <c r="Q109">
        <v>9.3000000000000007</v>
      </c>
      <c r="R109">
        <v>0.43099999999999999</v>
      </c>
      <c r="S109">
        <v>0.5</v>
      </c>
      <c r="T109">
        <v>3</v>
      </c>
      <c r="U109">
        <v>0.182</v>
      </c>
      <c r="V109">
        <v>3.5</v>
      </c>
      <c r="W109">
        <v>6.3</v>
      </c>
      <c r="X109">
        <v>0.55100000000000005</v>
      </c>
      <c r="Y109">
        <v>0.46100000000000002</v>
      </c>
      <c r="Z109">
        <v>1.5</v>
      </c>
      <c r="AA109">
        <v>2.4</v>
      </c>
      <c r="AB109">
        <v>0.65400000000000003</v>
      </c>
    </row>
    <row r="110" spans="1:28" x14ac:dyDescent="0.25">
      <c r="A110" t="s">
        <v>186</v>
      </c>
      <c r="B110" t="s">
        <v>13</v>
      </c>
      <c r="C110">
        <v>23</v>
      </c>
      <c r="D110" t="s">
        <v>83</v>
      </c>
      <c r="E110">
        <v>1</v>
      </c>
      <c r="F110">
        <v>0</v>
      </c>
      <c r="G110">
        <v>3</v>
      </c>
      <c r="H110">
        <v>0</v>
      </c>
      <c r="I110">
        <v>1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8" x14ac:dyDescent="0.25">
      <c r="A111" t="s">
        <v>187</v>
      </c>
      <c r="B111" t="s">
        <v>32</v>
      </c>
      <c r="C111">
        <v>33</v>
      </c>
      <c r="D111" t="s">
        <v>62</v>
      </c>
      <c r="E111">
        <v>4</v>
      </c>
      <c r="F111">
        <v>4</v>
      </c>
      <c r="G111">
        <v>39</v>
      </c>
      <c r="H111">
        <v>0.5</v>
      </c>
      <c r="I111">
        <v>2.8</v>
      </c>
      <c r="J111">
        <v>3.3</v>
      </c>
      <c r="K111">
        <v>5</v>
      </c>
      <c r="L111">
        <v>1</v>
      </c>
      <c r="M111">
        <v>2.2999999999999998</v>
      </c>
      <c r="N111">
        <v>2</v>
      </c>
      <c r="O111">
        <v>31.3</v>
      </c>
      <c r="P111">
        <v>8.5</v>
      </c>
      <c r="Q111">
        <v>20.3</v>
      </c>
      <c r="R111">
        <v>0.42</v>
      </c>
      <c r="S111">
        <v>5</v>
      </c>
      <c r="T111">
        <v>12</v>
      </c>
      <c r="U111">
        <v>0.41699999999999998</v>
      </c>
      <c r="V111">
        <v>3.5</v>
      </c>
      <c r="W111">
        <v>8.3000000000000007</v>
      </c>
      <c r="X111">
        <v>0.42399999999999999</v>
      </c>
      <c r="Y111">
        <v>0.54300000000000004</v>
      </c>
      <c r="Z111">
        <v>9.3000000000000007</v>
      </c>
      <c r="AA111">
        <v>9.5</v>
      </c>
      <c r="AB111">
        <v>0.97399999999999998</v>
      </c>
    </row>
    <row r="112" spans="1:28" x14ac:dyDescent="0.25">
      <c r="A112" t="s">
        <v>188</v>
      </c>
      <c r="B112" t="s">
        <v>42</v>
      </c>
      <c r="C112">
        <v>23</v>
      </c>
      <c r="D112" t="s">
        <v>59</v>
      </c>
      <c r="E112">
        <v>4</v>
      </c>
      <c r="F112">
        <v>0</v>
      </c>
      <c r="G112">
        <v>3.5</v>
      </c>
      <c r="H112">
        <v>0</v>
      </c>
      <c r="I112">
        <v>0.3</v>
      </c>
      <c r="J112">
        <v>0.3</v>
      </c>
      <c r="K112">
        <v>0</v>
      </c>
      <c r="L112">
        <v>0</v>
      </c>
      <c r="M112">
        <v>0</v>
      </c>
      <c r="N112">
        <v>0.5</v>
      </c>
      <c r="O112">
        <v>1.8</v>
      </c>
      <c r="P112">
        <v>0.8</v>
      </c>
      <c r="Q112">
        <v>1.3</v>
      </c>
      <c r="R112">
        <v>0.6</v>
      </c>
      <c r="S112">
        <v>0.3</v>
      </c>
      <c r="T112">
        <v>0.8</v>
      </c>
      <c r="U112">
        <v>0.33300000000000002</v>
      </c>
      <c r="V112">
        <v>0.5</v>
      </c>
      <c r="W112">
        <v>0.5</v>
      </c>
      <c r="X112">
        <v>1</v>
      </c>
      <c r="Y112">
        <v>0.7</v>
      </c>
      <c r="Z112">
        <v>0</v>
      </c>
      <c r="AA112">
        <v>0</v>
      </c>
      <c r="AB112">
        <v>0</v>
      </c>
    </row>
    <row r="113" spans="1:28" x14ac:dyDescent="0.25">
      <c r="A113" t="s">
        <v>189</v>
      </c>
      <c r="B113" t="s">
        <v>29</v>
      </c>
      <c r="C113">
        <v>19</v>
      </c>
      <c r="D113" t="s">
        <v>78</v>
      </c>
      <c r="E113">
        <v>21</v>
      </c>
      <c r="F113">
        <v>0</v>
      </c>
      <c r="G113">
        <v>22</v>
      </c>
      <c r="H113">
        <v>2.7</v>
      </c>
      <c r="I113">
        <v>4.7</v>
      </c>
      <c r="J113">
        <v>7.4</v>
      </c>
      <c r="K113">
        <v>1.3</v>
      </c>
      <c r="L113">
        <v>0.4</v>
      </c>
      <c r="M113">
        <v>1</v>
      </c>
      <c r="N113">
        <v>2.2999999999999998</v>
      </c>
      <c r="O113">
        <v>7.9</v>
      </c>
      <c r="P113">
        <v>3</v>
      </c>
      <c r="Q113">
        <v>4.5</v>
      </c>
      <c r="R113">
        <v>0.67400000000000004</v>
      </c>
      <c r="S113">
        <v>0</v>
      </c>
      <c r="T113">
        <v>0</v>
      </c>
      <c r="U113">
        <v>1</v>
      </c>
      <c r="V113">
        <v>3</v>
      </c>
      <c r="W113">
        <v>4.5</v>
      </c>
      <c r="X113">
        <v>0.67</v>
      </c>
      <c r="Y113">
        <v>0.67900000000000005</v>
      </c>
      <c r="Z113">
        <v>1.7</v>
      </c>
      <c r="AA113">
        <v>2.9</v>
      </c>
      <c r="AB113">
        <v>0.59</v>
      </c>
    </row>
    <row r="114" spans="1:28" x14ac:dyDescent="0.25">
      <c r="A114" t="s">
        <v>190</v>
      </c>
      <c r="B114" t="s">
        <v>42</v>
      </c>
      <c r="C114">
        <v>20</v>
      </c>
      <c r="D114" t="s">
        <v>62</v>
      </c>
      <c r="E114">
        <v>2</v>
      </c>
      <c r="F114">
        <v>0</v>
      </c>
      <c r="G114">
        <v>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0.5</v>
      </c>
      <c r="Q114">
        <v>0.5</v>
      </c>
      <c r="R114">
        <v>1</v>
      </c>
      <c r="S114">
        <v>0</v>
      </c>
      <c r="T114">
        <v>0</v>
      </c>
      <c r="U114">
        <v>0</v>
      </c>
      <c r="V114">
        <v>0.5</v>
      </c>
      <c r="W114">
        <v>0.5</v>
      </c>
      <c r="X114">
        <v>1</v>
      </c>
      <c r="Y114">
        <v>1</v>
      </c>
      <c r="Z114">
        <v>0</v>
      </c>
      <c r="AA114">
        <v>1.5</v>
      </c>
      <c r="AB114">
        <v>0</v>
      </c>
    </row>
    <row r="115" spans="1:28" x14ac:dyDescent="0.25">
      <c r="A115" t="s">
        <v>191</v>
      </c>
      <c r="B115" t="s">
        <v>29</v>
      </c>
      <c r="C115">
        <v>35</v>
      </c>
      <c r="D115" t="s">
        <v>62</v>
      </c>
      <c r="E115">
        <v>6</v>
      </c>
      <c r="F115">
        <v>6</v>
      </c>
      <c r="G115">
        <v>33.299999999999997</v>
      </c>
      <c r="H115">
        <v>1.8</v>
      </c>
      <c r="I115">
        <v>2.5</v>
      </c>
      <c r="J115">
        <v>4.3</v>
      </c>
      <c r="K115">
        <v>1.8</v>
      </c>
      <c r="L115">
        <v>0</v>
      </c>
      <c r="M115">
        <v>1.5</v>
      </c>
      <c r="N115">
        <v>1.7</v>
      </c>
      <c r="O115">
        <v>17.7</v>
      </c>
      <c r="P115">
        <v>7.3</v>
      </c>
      <c r="Q115">
        <v>12.5</v>
      </c>
      <c r="R115">
        <v>0.58699999999999997</v>
      </c>
      <c r="S115">
        <v>1.7</v>
      </c>
      <c r="T115">
        <v>3.8</v>
      </c>
      <c r="U115">
        <v>0.435</v>
      </c>
      <c r="V115">
        <v>5.7</v>
      </c>
      <c r="W115">
        <v>8.6999999999999993</v>
      </c>
      <c r="X115">
        <v>0.65400000000000003</v>
      </c>
      <c r="Y115">
        <v>0.65300000000000002</v>
      </c>
      <c r="Z115">
        <v>1.3</v>
      </c>
      <c r="AA115">
        <v>2.5</v>
      </c>
      <c r="AB115">
        <v>0.53300000000000003</v>
      </c>
    </row>
    <row r="116" spans="1:28" x14ac:dyDescent="0.25">
      <c r="A116" t="s">
        <v>192</v>
      </c>
      <c r="B116" t="s">
        <v>13</v>
      </c>
      <c r="C116">
        <v>35</v>
      </c>
      <c r="D116" t="s">
        <v>85</v>
      </c>
      <c r="E116">
        <v>5</v>
      </c>
      <c r="F116">
        <v>0</v>
      </c>
      <c r="G116">
        <v>6.4</v>
      </c>
      <c r="H116">
        <v>0.2</v>
      </c>
      <c r="I116">
        <v>2.6</v>
      </c>
      <c r="J116">
        <v>2.8</v>
      </c>
      <c r="K116">
        <v>0.8</v>
      </c>
      <c r="L116">
        <v>0</v>
      </c>
      <c r="M116">
        <v>0.4</v>
      </c>
      <c r="N116">
        <v>0.4</v>
      </c>
      <c r="O116">
        <v>1.8</v>
      </c>
      <c r="P116">
        <v>0.8</v>
      </c>
      <c r="Q116">
        <v>1.8</v>
      </c>
      <c r="R116">
        <v>0.44400000000000001</v>
      </c>
      <c r="S116">
        <v>0.2</v>
      </c>
      <c r="T116">
        <v>0.8</v>
      </c>
      <c r="U116">
        <v>0.25</v>
      </c>
      <c r="V116">
        <v>0.6</v>
      </c>
      <c r="W116">
        <v>1</v>
      </c>
      <c r="X116">
        <v>0.6</v>
      </c>
      <c r="Y116">
        <v>0.5</v>
      </c>
      <c r="Z116">
        <v>0</v>
      </c>
      <c r="AA116">
        <v>0</v>
      </c>
      <c r="AB116">
        <v>0</v>
      </c>
    </row>
    <row r="117" spans="1:28" x14ac:dyDescent="0.25">
      <c r="A117" t="s">
        <v>193</v>
      </c>
      <c r="B117" t="s">
        <v>32</v>
      </c>
      <c r="C117">
        <v>37</v>
      </c>
      <c r="D117" t="s">
        <v>87</v>
      </c>
      <c r="E117">
        <v>6</v>
      </c>
      <c r="F117">
        <v>6</v>
      </c>
      <c r="G117">
        <v>29.2</v>
      </c>
      <c r="H117">
        <v>1</v>
      </c>
      <c r="I117">
        <v>2.5</v>
      </c>
      <c r="J117">
        <v>3.5</v>
      </c>
      <c r="K117">
        <v>4</v>
      </c>
      <c r="L117">
        <v>1</v>
      </c>
      <c r="M117">
        <v>0.7</v>
      </c>
      <c r="N117">
        <v>3.8</v>
      </c>
      <c r="O117">
        <v>7</v>
      </c>
      <c r="P117">
        <v>1.8</v>
      </c>
      <c r="Q117">
        <v>5.3</v>
      </c>
      <c r="R117">
        <v>0.34399999999999997</v>
      </c>
      <c r="S117">
        <v>1.3</v>
      </c>
      <c r="T117">
        <v>4</v>
      </c>
      <c r="U117">
        <v>0.33300000000000002</v>
      </c>
      <c r="V117">
        <v>0.5</v>
      </c>
      <c r="W117">
        <v>1.3</v>
      </c>
      <c r="X117">
        <v>0.375</v>
      </c>
      <c r="Y117">
        <v>0.46899999999999997</v>
      </c>
      <c r="Z117">
        <v>2</v>
      </c>
      <c r="AA117">
        <v>2.5</v>
      </c>
      <c r="AB117">
        <v>0.8</v>
      </c>
    </row>
    <row r="118" spans="1:28" x14ac:dyDescent="0.25">
      <c r="A118" t="s">
        <v>94</v>
      </c>
      <c r="B118" t="s">
        <v>35</v>
      </c>
      <c r="C118">
        <v>27</v>
      </c>
      <c r="D118" t="s">
        <v>95</v>
      </c>
      <c r="E118">
        <v>6</v>
      </c>
      <c r="F118">
        <v>6</v>
      </c>
      <c r="G118">
        <v>31.2</v>
      </c>
      <c r="H118">
        <v>2.8</v>
      </c>
      <c r="I118">
        <v>2.2000000000000002</v>
      </c>
      <c r="J118">
        <v>5</v>
      </c>
      <c r="K118">
        <v>1.8</v>
      </c>
      <c r="L118">
        <v>0</v>
      </c>
      <c r="M118">
        <v>0.8</v>
      </c>
      <c r="N118">
        <v>3.2</v>
      </c>
      <c r="O118">
        <v>9.3000000000000007</v>
      </c>
      <c r="P118">
        <v>3.2</v>
      </c>
      <c r="Q118">
        <v>7.7</v>
      </c>
      <c r="R118">
        <v>0.41299999999999998</v>
      </c>
      <c r="S118">
        <v>1.7</v>
      </c>
      <c r="T118">
        <v>3.7</v>
      </c>
      <c r="U118">
        <v>0.45500000000000002</v>
      </c>
      <c r="V118">
        <v>1.5</v>
      </c>
      <c r="W118">
        <v>4</v>
      </c>
      <c r="X118">
        <v>0.375</v>
      </c>
      <c r="Y118">
        <v>0.52200000000000002</v>
      </c>
      <c r="Z118">
        <v>1.3</v>
      </c>
      <c r="AA118">
        <v>1.3</v>
      </c>
      <c r="AB118">
        <v>1</v>
      </c>
    </row>
    <row r="119" spans="1:28" x14ac:dyDescent="0.25">
      <c r="A119" t="s">
        <v>194</v>
      </c>
      <c r="B119" t="s">
        <v>42</v>
      </c>
      <c r="C119">
        <v>26</v>
      </c>
      <c r="D119" t="s">
        <v>83</v>
      </c>
      <c r="E119">
        <v>4</v>
      </c>
      <c r="F119">
        <v>0</v>
      </c>
      <c r="G119">
        <v>21</v>
      </c>
      <c r="H119">
        <v>0.8</v>
      </c>
      <c r="I119">
        <v>2</v>
      </c>
      <c r="J119">
        <v>2.8</v>
      </c>
      <c r="K119">
        <v>1.3</v>
      </c>
      <c r="L119">
        <v>0.5</v>
      </c>
      <c r="M119">
        <v>0.5</v>
      </c>
      <c r="N119">
        <v>2.2999999999999998</v>
      </c>
      <c r="O119">
        <v>9</v>
      </c>
      <c r="P119">
        <v>3</v>
      </c>
      <c r="Q119">
        <v>7</v>
      </c>
      <c r="R119">
        <v>0.42899999999999999</v>
      </c>
      <c r="S119">
        <v>1.5</v>
      </c>
      <c r="T119">
        <v>3.8</v>
      </c>
      <c r="U119">
        <v>0.4</v>
      </c>
      <c r="V119">
        <v>1.5</v>
      </c>
      <c r="W119">
        <v>3.3</v>
      </c>
      <c r="X119">
        <v>0.46200000000000002</v>
      </c>
      <c r="Y119">
        <v>0.53600000000000003</v>
      </c>
      <c r="Z119">
        <v>1.5</v>
      </c>
      <c r="AA119">
        <v>1.5</v>
      </c>
      <c r="AB119">
        <v>1</v>
      </c>
    </row>
    <row r="120" spans="1:28" x14ac:dyDescent="0.25">
      <c r="A120" t="s">
        <v>195</v>
      </c>
      <c r="B120" t="s">
        <v>42</v>
      </c>
      <c r="C120">
        <v>28</v>
      </c>
      <c r="D120" t="s">
        <v>85</v>
      </c>
      <c r="E120">
        <v>5</v>
      </c>
      <c r="F120">
        <v>5</v>
      </c>
      <c r="G120">
        <v>35.200000000000003</v>
      </c>
      <c r="H120">
        <v>1</v>
      </c>
      <c r="I120">
        <v>2.6</v>
      </c>
      <c r="J120">
        <v>3.6</v>
      </c>
      <c r="K120">
        <v>1.4</v>
      </c>
      <c r="L120">
        <v>0.6</v>
      </c>
      <c r="M120">
        <v>0.6</v>
      </c>
      <c r="N120">
        <v>2.8</v>
      </c>
      <c r="O120">
        <v>11.6</v>
      </c>
      <c r="P120">
        <v>4.2</v>
      </c>
      <c r="Q120">
        <v>9</v>
      </c>
      <c r="R120">
        <v>0.46700000000000003</v>
      </c>
      <c r="S120">
        <v>2.2000000000000002</v>
      </c>
      <c r="T120">
        <v>5</v>
      </c>
      <c r="U120">
        <v>0.44</v>
      </c>
      <c r="V120">
        <v>2</v>
      </c>
      <c r="W120">
        <v>4</v>
      </c>
      <c r="X120">
        <v>0.5</v>
      </c>
      <c r="Y120">
        <v>0.58899999999999997</v>
      </c>
      <c r="Z120">
        <v>1</v>
      </c>
      <c r="AA120">
        <v>1</v>
      </c>
      <c r="AB120">
        <v>1</v>
      </c>
    </row>
    <row r="121" spans="1:28" x14ac:dyDescent="0.25">
      <c r="A121" t="s">
        <v>196</v>
      </c>
      <c r="B121" t="s">
        <v>32</v>
      </c>
      <c r="C121">
        <v>23</v>
      </c>
      <c r="D121" t="s">
        <v>87</v>
      </c>
      <c r="E121">
        <v>6</v>
      </c>
      <c r="F121">
        <v>6</v>
      </c>
      <c r="G121">
        <v>44.5</v>
      </c>
      <c r="H121">
        <v>0.2</v>
      </c>
      <c r="I121">
        <v>5</v>
      </c>
      <c r="J121">
        <v>5.2</v>
      </c>
      <c r="K121">
        <v>6.8</v>
      </c>
      <c r="L121">
        <v>0.8</v>
      </c>
      <c r="M121">
        <v>2.2000000000000002</v>
      </c>
      <c r="N121">
        <v>2.7</v>
      </c>
      <c r="O121">
        <v>29.8</v>
      </c>
      <c r="P121">
        <v>11</v>
      </c>
      <c r="Q121">
        <v>23</v>
      </c>
      <c r="R121">
        <v>0.47799999999999998</v>
      </c>
      <c r="S121">
        <v>3.7</v>
      </c>
      <c r="T121">
        <v>9.1999999999999993</v>
      </c>
      <c r="U121">
        <v>0.4</v>
      </c>
      <c r="V121">
        <v>7.3</v>
      </c>
      <c r="W121">
        <v>13.8</v>
      </c>
      <c r="X121">
        <v>0.53</v>
      </c>
      <c r="Y121">
        <v>0.55800000000000005</v>
      </c>
      <c r="Z121">
        <v>4.2</v>
      </c>
      <c r="AA121">
        <v>4.7</v>
      </c>
      <c r="AB121">
        <v>0.89300000000000002</v>
      </c>
    </row>
    <row r="122" spans="1:28" x14ac:dyDescent="0.25">
      <c r="A122" t="s">
        <v>197</v>
      </c>
      <c r="B122" t="s">
        <v>32</v>
      </c>
      <c r="C122">
        <v>23</v>
      </c>
      <c r="D122" t="s">
        <v>71</v>
      </c>
      <c r="E122">
        <v>13</v>
      </c>
      <c r="F122">
        <v>2</v>
      </c>
      <c r="G122">
        <v>26.7</v>
      </c>
      <c r="H122">
        <v>0.5</v>
      </c>
      <c r="I122">
        <v>1.7</v>
      </c>
      <c r="J122">
        <v>2.2000000000000002</v>
      </c>
      <c r="K122">
        <v>1.9</v>
      </c>
      <c r="L122">
        <v>0.5</v>
      </c>
      <c r="M122">
        <v>0.8</v>
      </c>
      <c r="N122">
        <v>2.2999999999999998</v>
      </c>
      <c r="O122">
        <v>11</v>
      </c>
      <c r="P122">
        <v>4.2</v>
      </c>
      <c r="Q122">
        <v>9.5</v>
      </c>
      <c r="R122">
        <v>0.435</v>
      </c>
      <c r="S122">
        <v>1.9</v>
      </c>
      <c r="T122">
        <v>5.2</v>
      </c>
      <c r="U122">
        <v>0.36799999999999999</v>
      </c>
      <c r="V122">
        <v>2.2000000000000002</v>
      </c>
      <c r="W122">
        <v>4.3</v>
      </c>
      <c r="X122">
        <v>0.51800000000000002</v>
      </c>
      <c r="Y122">
        <v>0.53600000000000003</v>
      </c>
      <c r="Z122">
        <v>0.8</v>
      </c>
      <c r="AA122">
        <v>0.9</v>
      </c>
      <c r="AB122">
        <v>0.83299999999999996</v>
      </c>
    </row>
    <row r="123" spans="1:28" x14ac:dyDescent="0.25">
      <c r="A123" t="s">
        <v>198</v>
      </c>
      <c r="B123" t="s">
        <v>32</v>
      </c>
      <c r="C123">
        <v>32</v>
      </c>
      <c r="D123" t="s">
        <v>83</v>
      </c>
      <c r="E123">
        <v>4</v>
      </c>
      <c r="F123">
        <v>4</v>
      </c>
      <c r="G123">
        <v>37</v>
      </c>
      <c r="H123">
        <v>0.5</v>
      </c>
      <c r="I123">
        <v>4.3</v>
      </c>
      <c r="J123">
        <v>4.8</v>
      </c>
      <c r="K123">
        <v>4.8</v>
      </c>
      <c r="L123">
        <v>1.8</v>
      </c>
      <c r="M123">
        <v>4</v>
      </c>
      <c r="N123">
        <v>3.5</v>
      </c>
      <c r="O123">
        <v>17.8</v>
      </c>
      <c r="P123">
        <v>7.8</v>
      </c>
      <c r="Q123">
        <v>18.5</v>
      </c>
      <c r="R123">
        <v>0.41899999999999998</v>
      </c>
      <c r="S123">
        <v>1.8</v>
      </c>
      <c r="T123">
        <v>7.3</v>
      </c>
      <c r="U123">
        <v>0.24099999999999999</v>
      </c>
      <c r="V123">
        <v>6</v>
      </c>
      <c r="W123">
        <v>11.3</v>
      </c>
      <c r="X123">
        <v>0.53300000000000003</v>
      </c>
      <c r="Y123">
        <v>0.46600000000000003</v>
      </c>
      <c r="Z123">
        <v>0.5</v>
      </c>
      <c r="AA123">
        <v>0.5</v>
      </c>
      <c r="AB123">
        <v>1</v>
      </c>
    </row>
    <row r="124" spans="1:28" x14ac:dyDescent="0.25">
      <c r="A124" t="s">
        <v>199</v>
      </c>
      <c r="B124" t="s">
        <v>32</v>
      </c>
      <c r="C124">
        <v>31</v>
      </c>
      <c r="D124" t="s">
        <v>66</v>
      </c>
      <c r="E124">
        <v>17</v>
      </c>
      <c r="F124">
        <v>0</v>
      </c>
      <c r="G124">
        <v>20.5</v>
      </c>
      <c r="H124">
        <v>0.6</v>
      </c>
      <c r="I124">
        <v>2.4</v>
      </c>
      <c r="J124">
        <v>3.1</v>
      </c>
      <c r="K124">
        <v>5.0999999999999996</v>
      </c>
      <c r="L124">
        <v>0.9</v>
      </c>
      <c r="M124">
        <v>1.2</v>
      </c>
      <c r="N124">
        <v>1.5</v>
      </c>
      <c r="O124">
        <v>11.8</v>
      </c>
      <c r="P124">
        <v>5.3</v>
      </c>
      <c r="Q124">
        <v>10.9</v>
      </c>
      <c r="R124">
        <v>0.48599999999999999</v>
      </c>
      <c r="S124">
        <v>0.4</v>
      </c>
      <c r="T124">
        <v>1.5</v>
      </c>
      <c r="U124">
        <v>0.26900000000000002</v>
      </c>
      <c r="V124">
        <v>4.9000000000000004</v>
      </c>
      <c r="W124">
        <v>9.4</v>
      </c>
      <c r="X124">
        <v>0.52200000000000002</v>
      </c>
      <c r="Y124">
        <v>0.505</v>
      </c>
      <c r="Z124">
        <v>0.8</v>
      </c>
      <c r="AA124">
        <v>0.9</v>
      </c>
      <c r="AB124">
        <v>0.86699999999999999</v>
      </c>
    </row>
    <row r="125" spans="1:28" x14ac:dyDescent="0.25">
      <c r="A125" t="s">
        <v>200</v>
      </c>
      <c r="B125" t="s">
        <v>42</v>
      </c>
      <c r="C125">
        <v>23</v>
      </c>
      <c r="D125" t="s">
        <v>57</v>
      </c>
      <c r="E125">
        <v>16</v>
      </c>
      <c r="F125">
        <v>16</v>
      </c>
      <c r="G125">
        <v>33.6</v>
      </c>
      <c r="H125">
        <v>1.8</v>
      </c>
      <c r="I125">
        <v>2.1</v>
      </c>
      <c r="J125">
        <v>3.8</v>
      </c>
      <c r="K125">
        <v>1.1000000000000001</v>
      </c>
      <c r="L125">
        <v>0.9</v>
      </c>
      <c r="M125">
        <v>1.1000000000000001</v>
      </c>
      <c r="N125">
        <v>3.4</v>
      </c>
      <c r="O125">
        <v>12.2</v>
      </c>
      <c r="P125">
        <v>4.5</v>
      </c>
      <c r="Q125">
        <v>8.8000000000000007</v>
      </c>
      <c r="R125">
        <v>0.51400000000000001</v>
      </c>
      <c r="S125">
        <v>1.5</v>
      </c>
      <c r="T125">
        <v>3.5</v>
      </c>
      <c r="U125">
        <v>0.42899999999999999</v>
      </c>
      <c r="V125">
        <v>3</v>
      </c>
      <c r="W125">
        <v>5.3</v>
      </c>
      <c r="X125">
        <v>0.57099999999999995</v>
      </c>
      <c r="Y125">
        <v>0.6</v>
      </c>
      <c r="Z125">
        <v>1.7</v>
      </c>
      <c r="AA125">
        <v>2.2000000000000002</v>
      </c>
      <c r="AB125">
        <v>0.77100000000000002</v>
      </c>
    </row>
    <row r="126" spans="1:28" x14ac:dyDescent="0.25">
      <c r="A126" t="s">
        <v>201</v>
      </c>
      <c r="B126" t="s">
        <v>42</v>
      </c>
      <c r="C126">
        <v>32</v>
      </c>
      <c r="D126" t="s">
        <v>66</v>
      </c>
      <c r="E126">
        <v>10</v>
      </c>
      <c r="F126">
        <v>0</v>
      </c>
      <c r="G126">
        <v>6.4</v>
      </c>
      <c r="H126">
        <v>0.2</v>
      </c>
      <c r="I126">
        <v>0.1</v>
      </c>
      <c r="J126">
        <v>0.3</v>
      </c>
      <c r="K126">
        <v>0.7</v>
      </c>
      <c r="L126">
        <v>0</v>
      </c>
      <c r="M126">
        <v>0.1</v>
      </c>
      <c r="N126">
        <v>0.5</v>
      </c>
      <c r="O126">
        <v>1.3</v>
      </c>
      <c r="P126">
        <v>0.5</v>
      </c>
      <c r="Q126">
        <v>1.1000000000000001</v>
      </c>
      <c r="R126">
        <v>0.45500000000000002</v>
      </c>
      <c r="S126">
        <v>0.3</v>
      </c>
      <c r="T126">
        <v>0.8</v>
      </c>
      <c r="U126">
        <v>0.375</v>
      </c>
      <c r="V126">
        <v>0.2</v>
      </c>
      <c r="W126">
        <v>0.3</v>
      </c>
      <c r="X126">
        <v>0.66700000000000004</v>
      </c>
      <c r="Y126">
        <v>0.59099999999999997</v>
      </c>
      <c r="Z126">
        <v>0</v>
      </c>
      <c r="AA126">
        <v>0</v>
      </c>
      <c r="AB126">
        <v>0</v>
      </c>
    </row>
    <row r="127" spans="1:28" x14ac:dyDescent="0.25">
      <c r="A127" t="s">
        <v>202</v>
      </c>
      <c r="B127" t="s">
        <v>32</v>
      </c>
      <c r="C127">
        <v>27</v>
      </c>
      <c r="D127" t="s">
        <v>57</v>
      </c>
      <c r="E127">
        <v>6</v>
      </c>
      <c r="F127">
        <v>0</v>
      </c>
      <c r="G127">
        <v>5</v>
      </c>
      <c r="H127">
        <v>0</v>
      </c>
      <c r="I127">
        <v>0.7</v>
      </c>
      <c r="J127">
        <v>0.7</v>
      </c>
      <c r="K127">
        <v>0.3</v>
      </c>
      <c r="L127">
        <v>0</v>
      </c>
      <c r="M127">
        <v>0.3</v>
      </c>
      <c r="N127">
        <v>0.2</v>
      </c>
      <c r="O127">
        <v>0.7</v>
      </c>
      <c r="P127">
        <v>0.3</v>
      </c>
      <c r="Q127">
        <v>1.5</v>
      </c>
      <c r="R127">
        <v>0.222</v>
      </c>
      <c r="S127">
        <v>0</v>
      </c>
      <c r="T127">
        <v>0.8</v>
      </c>
      <c r="U127">
        <v>0</v>
      </c>
      <c r="V127">
        <v>0.3</v>
      </c>
      <c r="W127">
        <v>0.7</v>
      </c>
      <c r="X127">
        <v>0.5</v>
      </c>
      <c r="Y127">
        <v>0.222</v>
      </c>
      <c r="Z127">
        <v>0</v>
      </c>
      <c r="AA127">
        <v>0.3</v>
      </c>
      <c r="AB127">
        <v>0</v>
      </c>
    </row>
    <row r="128" spans="1:28" x14ac:dyDescent="0.25">
      <c r="A128" t="s">
        <v>96</v>
      </c>
      <c r="B128" t="s">
        <v>35</v>
      </c>
      <c r="C128">
        <v>25</v>
      </c>
      <c r="D128" t="s">
        <v>87</v>
      </c>
      <c r="E128">
        <v>1</v>
      </c>
      <c r="F128">
        <v>0</v>
      </c>
      <c r="G128">
        <v>7</v>
      </c>
      <c r="H128">
        <v>0</v>
      </c>
      <c r="I128">
        <v>1</v>
      </c>
      <c r="J128">
        <v>1</v>
      </c>
      <c r="K128">
        <v>1</v>
      </c>
      <c r="L128">
        <v>0</v>
      </c>
      <c r="M128">
        <v>0</v>
      </c>
      <c r="N128">
        <v>1</v>
      </c>
      <c r="O128">
        <v>0</v>
      </c>
      <c r="P128">
        <v>0</v>
      </c>
      <c r="Q128">
        <v>2</v>
      </c>
      <c r="R128">
        <v>0</v>
      </c>
      <c r="S128">
        <v>0</v>
      </c>
      <c r="T128">
        <v>2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 x14ac:dyDescent="0.25">
      <c r="A129" t="s">
        <v>36</v>
      </c>
      <c r="B129" t="s">
        <v>35</v>
      </c>
      <c r="C129">
        <v>27</v>
      </c>
      <c r="D129" t="s">
        <v>30</v>
      </c>
      <c r="E129">
        <v>10</v>
      </c>
      <c r="F129">
        <v>0</v>
      </c>
      <c r="G129">
        <v>12.5</v>
      </c>
      <c r="H129">
        <v>0.2</v>
      </c>
      <c r="I129">
        <v>1</v>
      </c>
      <c r="J129">
        <v>1.2</v>
      </c>
      <c r="K129">
        <v>0.9</v>
      </c>
      <c r="L129">
        <v>0</v>
      </c>
      <c r="M129">
        <v>0</v>
      </c>
      <c r="N129">
        <v>0.9</v>
      </c>
      <c r="O129">
        <v>3.3</v>
      </c>
      <c r="P129">
        <v>1</v>
      </c>
      <c r="Q129">
        <v>2.9</v>
      </c>
      <c r="R129">
        <v>0.34499999999999997</v>
      </c>
      <c r="S129">
        <v>1</v>
      </c>
      <c r="T129">
        <v>2.7</v>
      </c>
      <c r="U129">
        <v>0.37</v>
      </c>
      <c r="V129">
        <v>0</v>
      </c>
      <c r="W129">
        <v>0.2</v>
      </c>
      <c r="X129">
        <v>0</v>
      </c>
      <c r="Y129">
        <v>0.51700000000000002</v>
      </c>
      <c r="Z129">
        <v>0.3</v>
      </c>
      <c r="AA129">
        <v>0.3</v>
      </c>
      <c r="AB129">
        <v>1</v>
      </c>
    </row>
    <row r="130" spans="1:28" x14ac:dyDescent="0.25">
      <c r="A130" t="s">
        <v>203</v>
      </c>
      <c r="B130" t="s">
        <v>42</v>
      </c>
      <c r="C130">
        <v>32</v>
      </c>
      <c r="D130" t="s">
        <v>62</v>
      </c>
      <c r="E130">
        <v>6</v>
      </c>
      <c r="F130">
        <v>6</v>
      </c>
      <c r="G130">
        <v>38.299999999999997</v>
      </c>
      <c r="H130">
        <v>2</v>
      </c>
      <c r="I130">
        <v>7.2</v>
      </c>
      <c r="J130">
        <v>9.1999999999999993</v>
      </c>
      <c r="K130">
        <v>4.7</v>
      </c>
      <c r="L130">
        <v>0.5</v>
      </c>
      <c r="M130">
        <v>2.2999999999999998</v>
      </c>
      <c r="N130">
        <v>4.2</v>
      </c>
      <c r="O130">
        <v>24.7</v>
      </c>
      <c r="P130">
        <v>9.1999999999999993</v>
      </c>
      <c r="Q130">
        <v>19</v>
      </c>
      <c r="R130">
        <v>0.48199999999999998</v>
      </c>
      <c r="S130">
        <v>1.8</v>
      </c>
      <c r="T130">
        <v>5.2</v>
      </c>
      <c r="U130">
        <v>0.35499999999999998</v>
      </c>
      <c r="V130">
        <v>7.3</v>
      </c>
      <c r="W130">
        <v>13.8</v>
      </c>
      <c r="X130">
        <v>0.53</v>
      </c>
      <c r="Y130">
        <v>0.53100000000000003</v>
      </c>
      <c r="Z130">
        <v>4.5</v>
      </c>
      <c r="AA130">
        <v>5</v>
      </c>
      <c r="AB130">
        <v>0.9</v>
      </c>
    </row>
    <row r="131" spans="1:28" x14ac:dyDescent="0.25">
      <c r="A131" t="s">
        <v>204</v>
      </c>
      <c r="B131" t="s">
        <v>42</v>
      </c>
      <c r="C131">
        <v>20</v>
      </c>
      <c r="D131" t="s">
        <v>57</v>
      </c>
      <c r="E131">
        <v>3</v>
      </c>
      <c r="F131">
        <v>0</v>
      </c>
      <c r="G131">
        <v>2.2999999999999998</v>
      </c>
      <c r="H131">
        <v>0.3</v>
      </c>
      <c r="I131">
        <v>1</v>
      </c>
      <c r="J131">
        <v>1.3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0.3</v>
      </c>
      <c r="R131">
        <v>0</v>
      </c>
      <c r="S131">
        <v>0</v>
      </c>
      <c r="T131">
        <v>0.3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 x14ac:dyDescent="0.25">
      <c r="A132" t="s">
        <v>205</v>
      </c>
      <c r="B132" t="s">
        <v>32</v>
      </c>
      <c r="C132">
        <v>35</v>
      </c>
      <c r="D132" t="s">
        <v>85</v>
      </c>
      <c r="E132">
        <v>3</v>
      </c>
      <c r="F132">
        <v>0</v>
      </c>
      <c r="G132">
        <v>17.3</v>
      </c>
      <c r="H132">
        <v>0.3</v>
      </c>
      <c r="I132">
        <v>0</v>
      </c>
      <c r="J132">
        <v>0.3</v>
      </c>
      <c r="K132">
        <v>1</v>
      </c>
      <c r="L132">
        <v>0.3</v>
      </c>
      <c r="M132">
        <v>0.3</v>
      </c>
      <c r="N132">
        <v>0.7</v>
      </c>
      <c r="O132">
        <v>6</v>
      </c>
      <c r="P132">
        <v>2</v>
      </c>
      <c r="Q132">
        <v>5.7</v>
      </c>
      <c r="R132">
        <v>0.35299999999999998</v>
      </c>
      <c r="S132">
        <v>1</v>
      </c>
      <c r="T132">
        <v>3.7</v>
      </c>
      <c r="U132">
        <v>0.27300000000000002</v>
      </c>
      <c r="V132">
        <v>1</v>
      </c>
      <c r="W132">
        <v>2</v>
      </c>
      <c r="X132">
        <v>0.5</v>
      </c>
      <c r="Y132">
        <v>0.441</v>
      </c>
      <c r="Z132">
        <v>1</v>
      </c>
      <c r="AA132">
        <v>1.3</v>
      </c>
      <c r="AB132">
        <v>0.75</v>
      </c>
    </row>
    <row r="133" spans="1:28" x14ac:dyDescent="0.25">
      <c r="A133" t="s">
        <v>97</v>
      </c>
      <c r="B133" t="s">
        <v>35</v>
      </c>
      <c r="C133">
        <v>27</v>
      </c>
      <c r="D133" t="s">
        <v>71</v>
      </c>
      <c r="E133">
        <v>4</v>
      </c>
      <c r="F133">
        <v>0</v>
      </c>
      <c r="G133">
        <v>5.5</v>
      </c>
      <c r="H133">
        <v>0</v>
      </c>
      <c r="I133">
        <v>0.3</v>
      </c>
      <c r="J133">
        <v>0.3</v>
      </c>
      <c r="K133">
        <v>0.5</v>
      </c>
      <c r="L133">
        <v>0.3</v>
      </c>
      <c r="M133">
        <v>0</v>
      </c>
      <c r="N133">
        <v>0</v>
      </c>
      <c r="O133">
        <v>1.3</v>
      </c>
      <c r="P133">
        <v>0</v>
      </c>
      <c r="Q133">
        <v>1.5</v>
      </c>
      <c r="R133">
        <v>0</v>
      </c>
      <c r="S133">
        <v>0</v>
      </c>
      <c r="T133">
        <v>0.5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1.3</v>
      </c>
      <c r="AA133">
        <v>1.5</v>
      </c>
      <c r="AB133">
        <v>0.83299999999999996</v>
      </c>
    </row>
    <row r="134" spans="1:28" x14ac:dyDescent="0.25">
      <c r="A134" t="s">
        <v>206</v>
      </c>
      <c r="B134" t="s">
        <v>42</v>
      </c>
      <c r="C134">
        <v>21</v>
      </c>
      <c r="D134" t="s">
        <v>57</v>
      </c>
      <c r="E134">
        <v>5</v>
      </c>
      <c r="F134">
        <v>0</v>
      </c>
      <c r="G134">
        <v>3.6</v>
      </c>
      <c r="H134">
        <v>0.2</v>
      </c>
      <c r="I134">
        <v>0.8</v>
      </c>
      <c r="J134">
        <v>1</v>
      </c>
      <c r="K134">
        <v>0.6</v>
      </c>
      <c r="L134">
        <v>0</v>
      </c>
      <c r="M134">
        <v>0</v>
      </c>
      <c r="N134">
        <v>0.4</v>
      </c>
      <c r="O134">
        <v>1.2</v>
      </c>
      <c r="P134">
        <v>0.4</v>
      </c>
      <c r="Q134">
        <v>1.8</v>
      </c>
      <c r="R134">
        <v>0.222</v>
      </c>
      <c r="S134">
        <v>0.4</v>
      </c>
      <c r="T134">
        <v>1</v>
      </c>
      <c r="U134">
        <v>0.4</v>
      </c>
      <c r="V134">
        <v>0</v>
      </c>
      <c r="W134">
        <v>0.8</v>
      </c>
      <c r="X134">
        <v>0</v>
      </c>
      <c r="Y134">
        <v>0.33300000000000002</v>
      </c>
      <c r="Z134">
        <v>0</v>
      </c>
      <c r="AA134">
        <v>0</v>
      </c>
      <c r="AB134">
        <v>0</v>
      </c>
    </row>
    <row r="135" spans="1:28" x14ac:dyDescent="0.25">
      <c r="A135" t="s">
        <v>37</v>
      </c>
      <c r="B135" t="s">
        <v>35</v>
      </c>
      <c r="C135">
        <v>27</v>
      </c>
      <c r="D135" t="s">
        <v>30</v>
      </c>
      <c r="E135">
        <v>10</v>
      </c>
      <c r="F135">
        <v>10</v>
      </c>
      <c r="G135">
        <v>38.200000000000003</v>
      </c>
      <c r="H135">
        <v>0.6</v>
      </c>
      <c r="I135">
        <v>4.8</v>
      </c>
      <c r="J135">
        <v>5.4</v>
      </c>
      <c r="K135">
        <v>4.7</v>
      </c>
      <c r="L135">
        <v>1.3</v>
      </c>
      <c r="M135">
        <v>2.8</v>
      </c>
      <c r="N135">
        <v>2.9</v>
      </c>
      <c r="O135">
        <v>29.6</v>
      </c>
      <c r="P135">
        <v>10.7</v>
      </c>
      <c r="Q135">
        <v>22.5</v>
      </c>
      <c r="R135">
        <v>0.47599999999999998</v>
      </c>
      <c r="S135">
        <v>2.9</v>
      </c>
      <c r="T135">
        <v>8.1999999999999993</v>
      </c>
      <c r="U135">
        <v>0.35399999999999998</v>
      </c>
      <c r="V135">
        <v>7.8</v>
      </c>
      <c r="W135">
        <v>14.3</v>
      </c>
      <c r="X135">
        <v>0.54500000000000004</v>
      </c>
      <c r="Y135">
        <v>0.54</v>
      </c>
      <c r="Z135">
        <v>5.3</v>
      </c>
      <c r="AA135">
        <v>6.5</v>
      </c>
      <c r="AB135">
        <v>0.81499999999999995</v>
      </c>
    </row>
    <row r="136" spans="1:28" x14ac:dyDescent="0.25">
      <c r="A136" t="s">
        <v>38</v>
      </c>
      <c r="B136" t="s">
        <v>13</v>
      </c>
      <c r="C136">
        <v>22</v>
      </c>
      <c r="D136" t="s">
        <v>30</v>
      </c>
      <c r="E136">
        <v>12</v>
      </c>
      <c r="F136">
        <v>12</v>
      </c>
      <c r="G136">
        <v>35.200000000000003</v>
      </c>
      <c r="H136">
        <v>2.5</v>
      </c>
      <c r="I136">
        <v>6.8</v>
      </c>
      <c r="J136">
        <v>9.3000000000000007</v>
      </c>
      <c r="K136">
        <v>2.2999999999999998</v>
      </c>
      <c r="L136">
        <v>0.8</v>
      </c>
      <c r="M136">
        <v>1.8</v>
      </c>
      <c r="N136">
        <v>2.8</v>
      </c>
      <c r="O136">
        <v>16</v>
      </c>
      <c r="P136">
        <v>6.8</v>
      </c>
      <c r="Q136">
        <v>12.2</v>
      </c>
      <c r="R136">
        <v>0.55500000000000005</v>
      </c>
      <c r="S136">
        <v>0.4</v>
      </c>
      <c r="T136">
        <v>1.5</v>
      </c>
      <c r="U136">
        <v>0.27800000000000002</v>
      </c>
      <c r="V136">
        <v>6.3</v>
      </c>
      <c r="W136">
        <v>10.7</v>
      </c>
      <c r="X136">
        <v>0.59399999999999997</v>
      </c>
      <c r="Y136">
        <v>0.57199999999999995</v>
      </c>
      <c r="Z136">
        <v>2.1</v>
      </c>
      <c r="AA136">
        <v>3</v>
      </c>
      <c r="AB136">
        <v>0.69399999999999995</v>
      </c>
    </row>
    <row r="137" spans="1:28" x14ac:dyDescent="0.25">
      <c r="A137" t="s">
        <v>98</v>
      </c>
      <c r="B137" t="s">
        <v>35</v>
      </c>
      <c r="C137">
        <v>22</v>
      </c>
      <c r="D137" t="s">
        <v>57</v>
      </c>
      <c r="E137">
        <v>6</v>
      </c>
      <c r="F137">
        <v>0</v>
      </c>
      <c r="G137">
        <v>3</v>
      </c>
      <c r="H137">
        <v>0</v>
      </c>
      <c r="I137">
        <v>0.3</v>
      </c>
      <c r="J137">
        <v>0.3</v>
      </c>
      <c r="K137">
        <v>0.3</v>
      </c>
      <c r="L137">
        <v>0.2</v>
      </c>
      <c r="M137">
        <v>0.2</v>
      </c>
      <c r="N137">
        <v>0.5</v>
      </c>
      <c r="O137">
        <v>1.2</v>
      </c>
      <c r="P137">
        <v>0.5</v>
      </c>
      <c r="Q137">
        <v>1.2</v>
      </c>
      <c r="R137">
        <v>0.42899999999999999</v>
      </c>
      <c r="S137">
        <v>0.2</v>
      </c>
      <c r="T137">
        <v>0.7</v>
      </c>
      <c r="U137">
        <v>0.25</v>
      </c>
      <c r="V137">
        <v>0.3</v>
      </c>
      <c r="W137">
        <v>0.5</v>
      </c>
      <c r="X137">
        <v>0.66700000000000004</v>
      </c>
      <c r="Y137">
        <v>0.5</v>
      </c>
      <c r="Z137">
        <v>0</v>
      </c>
      <c r="AA137">
        <v>0</v>
      </c>
      <c r="AB137">
        <v>0</v>
      </c>
    </row>
    <row r="138" spans="1:28" x14ac:dyDescent="0.25">
      <c r="A138" t="s">
        <v>39</v>
      </c>
      <c r="B138" t="s">
        <v>13</v>
      </c>
      <c r="C138">
        <v>34</v>
      </c>
      <c r="D138" t="s">
        <v>30</v>
      </c>
      <c r="E138">
        <v>9</v>
      </c>
      <c r="F138">
        <v>1</v>
      </c>
      <c r="G138">
        <v>15.3</v>
      </c>
      <c r="H138">
        <v>0.2</v>
      </c>
      <c r="I138">
        <v>2.6</v>
      </c>
      <c r="J138">
        <v>2.8</v>
      </c>
      <c r="K138">
        <v>0.3</v>
      </c>
      <c r="L138">
        <v>0.4</v>
      </c>
      <c r="M138">
        <v>0.3</v>
      </c>
      <c r="N138">
        <v>0.9</v>
      </c>
      <c r="O138">
        <v>6.1</v>
      </c>
      <c r="P138">
        <v>2.4</v>
      </c>
      <c r="Q138">
        <v>5.3</v>
      </c>
      <c r="R138">
        <v>0.45800000000000002</v>
      </c>
      <c r="S138">
        <v>1</v>
      </c>
      <c r="T138">
        <v>2.6</v>
      </c>
      <c r="U138">
        <v>0.39100000000000001</v>
      </c>
      <c r="V138">
        <v>1.4</v>
      </c>
      <c r="W138">
        <v>2.8</v>
      </c>
      <c r="X138">
        <v>0.52</v>
      </c>
      <c r="Y138">
        <v>0.55200000000000005</v>
      </c>
      <c r="Z138">
        <v>0.2</v>
      </c>
      <c r="AA138">
        <v>0.3</v>
      </c>
      <c r="AB138">
        <v>0.66700000000000004</v>
      </c>
    </row>
    <row r="139" spans="1:28" x14ac:dyDescent="0.25">
      <c r="A139" t="s">
        <v>207</v>
      </c>
      <c r="B139" t="s">
        <v>13</v>
      </c>
      <c r="C139">
        <v>34</v>
      </c>
      <c r="D139" t="s">
        <v>78</v>
      </c>
      <c r="E139">
        <v>1</v>
      </c>
      <c r="F139">
        <v>0</v>
      </c>
      <c r="G139">
        <v>12</v>
      </c>
      <c r="H139">
        <v>0</v>
      </c>
      <c r="I139">
        <v>4</v>
      </c>
      <c r="J139">
        <v>4</v>
      </c>
      <c r="K139">
        <v>0</v>
      </c>
      <c r="L139">
        <v>0</v>
      </c>
      <c r="M139">
        <v>1</v>
      </c>
      <c r="N139">
        <v>1</v>
      </c>
      <c r="O139">
        <v>3</v>
      </c>
      <c r="P139">
        <v>1</v>
      </c>
      <c r="Q139">
        <v>5</v>
      </c>
      <c r="R139">
        <v>0.2</v>
      </c>
      <c r="S139">
        <v>1</v>
      </c>
      <c r="T139">
        <v>3</v>
      </c>
      <c r="U139">
        <v>0.33300000000000002</v>
      </c>
      <c r="V139">
        <v>0</v>
      </c>
      <c r="W139">
        <v>2</v>
      </c>
      <c r="X139">
        <v>0</v>
      </c>
      <c r="Y139">
        <v>0.3</v>
      </c>
      <c r="Z139">
        <v>0</v>
      </c>
      <c r="AA139">
        <v>0</v>
      </c>
      <c r="AB139">
        <v>0</v>
      </c>
    </row>
    <row r="140" spans="1:28" x14ac:dyDescent="0.25">
      <c r="A140" t="s">
        <v>208</v>
      </c>
      <c r="B140" t="s">
        <v>32</v>
      </c>
      <c r="C140">
        <v>28</v>
      </c>
      <c r="D140" t="s">
        <v>57</v>
      </c>
      <c r="E140">
        <v>9</v>
      </c>
      <c r="F140">
        <v>0</v>
      </c>
      <c r="G140">
        <v>7.4</v>
      </c>
      <c r="H140">
        <v>0.1</v>
      </c>
      <c r="I140">
        <v>0.6</v>
      </c>
      <c r="J140">
        <v>0.7</v>
      </c>
      <c r="K140">
        <v>1</v>
      </c>
      <c r="L140">
        <v>0.2</v>
      </c>
      <c r="M140">
        <v>0</v>
      </c>
      <c r="N140">
        <v>0.7</v>
      </c>
      <c r="O140">
        <v>2.2999999999999998</v>
      </c>
      <c r="P140">
        <v>1</v>
      </c>
      <c r="Q140">
        <v>3.3</v>
      </c>
      <c r="R140">
        <v>0.3</v>
      </c>
      <c r="S140">
        <v>0.1</v>
      </c>
      <c r="T140">
        <v>1.6</v>
      </c>
      <c r="U140">
        <v>7.0999999999999994E-2</v>
      </c>
      <c r="V140">
        <v>0.9</v>
      </c>
      <c r="W140">
        <v>1.8</v>
      </c>
      <c r="X140">
        <v>0.5</v>
      </c>
      <c r="Y140">
        <v>0.317</v>
      </c>
      <c r="Z140">
        <v>0.2</v>
      </c>
      <c r="AA140">
        <v>0.2</v>
      </c>
      <c r="AB140">
        <v>1</v>
      </c>
    </row>
    <row r="141" spans="1:28" x14ac:dyDescent="0.25">
      <c r="A141" t="s">
        <v>209</v>
      </c>
      <c r="B141" t="s">
        <v>42</v>
      </c>
      <c r="C141">
        <v>23</v>
      </c>
      <c r="D141" t="s">
        <v>83</v>
      </c>
      <c r="E141">
        <v>4</v>
      </c>
      <c r="F141">
        <v>4</v>
      </c>
      <c r="G141">
        <v>42</v>
      </c>
      <c r="H141">
        <v>0.8</v>
      </c>
      <c r="I141">
        <v>5.8</v>
      </c>
      <c r="J141">
        <v>6.5</v>
      </c>
      <c r="K141">
        <v>2.2999999999999998</v>
      </c>
      <c r="L141">
        <v>1.3</v>
      </c>
      <c r="M141">
        <v>2</v>
      </c>
      <c r="N141">
        <v>3</v>
      </c>
      <c r="O141">
        <v>11.5</v>
      </c>
      <c r="P141">
        <v>4.5</v>
      </c>
      <c r="Q141">
        <v>12</v>
      </c>
      <c r="R141">
        <v>0.375</v>
      </c>
      <c r="S141">
        <v>2.5</v>
      </c>
      <c r="T141">
        <v>7.5</v>
      </c>
      <c r="U141">
        <v>0.33300000000000002</v>
      </c>
      <c r="V141">
        <v>2</v>
      </c>
      <c r="W141">
        <v>4.5</v>
      </c>
      <c r="X141">
        <v>0.44400000000000001</v>
      </c>
      <c r="Y141">
        <v>0.47899999999999998</v>
      </c>
      <c r="Z141">
        <v>0</v>
      </c>
      <c r="AA141">
        <v>0</v>
      </c>
      <c r="AB141">
        <v>0</v>
      </c>
    </row>
    <row r="142" spans="1:28" x14ac:dyDescent="0.25">
      <c r="A142" t="s">
        <v>210</v>
      </c>
      <c r="B142" t="s">
        <v>32</v>
      </c>
      <c r="C142">
        <v>26</v>
      </c>
      <c r="D142" t="s">
        <v>64</v>
      </c>
      <c r="E142">
        <v>12</v>
      </c>
      <c r="F142">
        <v>12</v>
      </c>
      <c r="G142">
        <v>38.5</v>
      </c>
      <c r="H142">
        <v>0.8</v>
      </c>
      <c r="I142">
        <v>3.6</v>
      </c>
      <c r="J142">
        <v>4.3</v>
      </c>
      <c r="K142">
        <v>5.6</v>
      </c>
      <c r="L142">
        <v>0.8</v>
      </c>
      <c r="M142">
        <v>2.6</v>
      </c>
      <c r="N142">
        <v>2.2999999999999998</v>
      </c>
      <c r="O142">
        <v>20.6</v>
      </c>
      <c r="P142">
        <v>8.3000000000000007</v>
      </c>
      <c r="Q142">
        <v>20.8</v>
      </c>
      <c r="R142">
        <v>0.40200000000000002</v>
      </c>
      <c r="S142">
        <v>1.9</v>
      </c>
      <c r="T142">
        <v>6.1</v>
      </c>
      <c r="U142">
        <v>0.315</v>
      </c>
      <c r="V142">
        <v>6.4</v>
      </c>
      <c r="W142">
        <v>14.7</v>
      </c>
      <c r="X142">
        <v>0.438</v>
      </c>
      <c r="Y142">
        <v>0.44800000000000001</v>
      </c>
      <c r="Z142">
        <v>2</v>
      </c>
      <c r="AA142">
        <v>2.2000000000000002</v>
      </c>
      <c r="AB142">
        <v>0.92300000000000004</v>
      </c>
    </row>
    <row r="143" spans="1:28" x14ac:dyDescent="0.25">
      <c r="A143" t="s">
        <v>211</v>
      </c>
      <c r="B143" t="s">
        <v>42</v>
      </c>
      <c r="C143">
        <v>26</v>
      </c>
      <c r="D143" t="s">
        <v>107</v>
      </c>
      <c r="E143">
        <v>8</v>
      </c>
      <c r="F143">
        <v>0</v>
      </c>
      <c r="G143">
        <v>4</v>
      </c>
      <c r="H143">
        <v>0.1</v>
      </c>
      <c r="I143">
        <v>0.5</v>
      </c>
      <c r="J143">
        <v>0.6</v>
      </c>
      <c r="K143">
        <v>0.1</v>
      </c>
      <c r="L143">
        <v>0.1</v>
      </c>
      <c r="M143">
        <v>0.3</v>
      </c>
      <c r="N143">
        <v>0.4</v>
      </c>
      <c r="O143">
        <v>1</v>
      </c>
      <c r="P143">
        <v>0.4</v>
      </c>
      <c r="Q143">
        <v>1.5</v>
      </c>
      <c r="R143">
        <v>0.25</v>
      </c>
      <c r="S143">
        <v>0.3</v>
      </c>
      <c r="T143">
        <v>1.1000000000000001</v>
      </c>
      <c r="U143">
        <v>0.222</v>
      </c>
      <c r="V143">
        <v>0.1</v>
      </c>
      <c r="W143">
        <v>0.4</v>
      </c>
      <c r="X143">
        <v>0.33300000000000002</v>
      </c>
      <c r="Y143">
        <v>0.33300000000000002</v>
      </c>
      <c r="Z143">
        <v>0</v>
      </c>
      <c r="AA143">
        <v>0</v>
      </c>
      <c r="AB143">
        <v>0</v>
      </c>
    </row>
    <row r="144" spans="1:28" x14ac:dyDescent="0.25">
      <c r="A144" t="s">
        <v>212</v>
      </c>
      <c r="B144" t="s">
        <v>29</v>
      </c>
      <c r="C144">
        <v>31</v>
      </c>
      <c r="D144" t="s">
        <v>83</v>
      </c>
      <c r="E144">
        <v>4</v>
      </c>
      <c r="F144">
        <v>0</v>
      </c>
      <c r="G144">
        <v>21</v>
      </c>
      <c r="H144">
        <v>3.8</v>
      </c>
      <c r="I144">
        <v>4.5</v>
      </c>
      <c r="J144">
        <v>8.3000000000000007</v>
      </c>
      <c r="K144">
        <v>1.8</v>
      </c>
      <c r="L144">
        <v>0.5</v>
      </c>
      <c r="M144">
        <v>1.8</v>
      </c>
      <c r="N144">
        <v>2.2999999999999998</v>
      </c>
      <c r="O144">
        <v>6.3</v>
      </c>
      <c r="P144">
        <v>2.5</v>
      </c>
      <c r="Q144">
        <v>4.3</v>
      </c>
      <c r="R144">
        <v>0.58799999999999997</v>
      </c>
      <c r="S144">
        <v>0.3</v>
      </c>
      <c r="T144">
        <v>1</v>
      </c>
      <c r="U144">
        <v>0.25</v>
      </c>
      <c r="V144">
        <v>2.2999999999999998</v>
      </c>
      <c r="W144">
        <v>3.3</v>
      </c>
      <c r="X144">
        <v>0.69199999999999995</v>
      </c>
      <c r="Y144">
        <v>0.61799999999999999</v>
      </c>
      <c r="Z144">
        <v>1</v>
      </c>
      <c r="AA144">
        <v>1.5</v>
      </c>
      <c r="AB144">
        <v>0.66700000000000004</v>
      </c>
    </row>
    <row r="145" spans="1:28" x14ac:dyDescent="0.25">
      <c r="A145" t="s">
        <v>213</v>
      </c>
      <c r="B145" t="s">
        <v>32</v>
      </c>
      <c r="C145">
        <v>24</v>
      </c>
      <c r="D145" t="s">
        <v>66</v>
      </c>
      <c r="E145">
        <v>17</v>
      </c>
      <c r="F145">
        <v>17</v>
      </c>
      <c r="G145">
        <v>32.6</v>
      </c>
      <c r="H145">
        <v>0.8</v>
      </c>
      <c r="I145">
        <v>2.5</v>
      </c>
      <c r="J145">
        <v>3.3</v>
      </c>
      <c r="K145">
        <v>5.5</v>
      </c>
      <c r="L145">
        <v>0.4</v>
      </c>
      <c r="M145">
        <v>1.4</v>
      </c>
      <c r="N145">
        <v>3.3</v>
      </c>
      <c r="O145">
        <v>14.9</v>
      </c>
      <c r="P145">
        <v>6</v>
      </c>
      <c r="Q145">
        <v>10.7</v>
      </c>
      <c r="R145">
        <v>0.56000000000000005</v>
      </c>
      <c r="S145">
        <v>1.7</v>
      </c>
      <c r="T145">
        <v>3.5</v>
      </c>
      <c r="U145">
        <v>0.48299999999999998</v>
      </c>
      <c r="V145">
        <v>4.3</v>
      </c>
      <c r="W145">
        <v>7.2</v>
      </c>
      <c r="X145">
        <v>0.59799999999999998</v>
      </c>
      <c r="Y145">
        <v>0.64</v>
      </c>
      <c r="Z145">
        <v>1.2</v>
      </c>
      <c r="AA145">
        <v>1.5</v>
      </c>
      <c r="AB145">
        <v>0.76900000000000002</v>
      </c>
    </row>
    <row r="146" spans="1:28" x14ac:dyDescent="0.25">
      <c r="A146" t="s">
        <v>214</v>
      </c>
      <c r="B146" t="s">
        <v>42</v>
      </c>
      <c r="C146">
        <v>24</v>
      </c>
      <c r="D146" t="s">
        <v>66</v>
      </c>
      <c r="E146">
        <v>17</v>
      </c>
      <c r="F146">
        <v>17</v>
      </c>
      <c r="G146">
        <v>32.9</v>
      </c>
      <c r="H146">
        <v>1.1000000000000001</v>
      </c>
      <c r="I146">
        <v>3.8</v>
      </c>
      <c r="J146">
        <v>4.9000000000000004</v>
      </c>
      <c r="K146">
        <v>2.2000000000000002</v>
      </c>
      <c r="L146">
        <v>0.6</v>
      </c>
      <c r="M146">
        <v>1.4</v>
      </c>
      <c r="N146">
        <v>3.9</v>
      </c>
      <c r="O146">
        <v>10.5</v>
      </c>
      <c r="P146">
        <v>3.6</v>
      </c>
      <c r="Q146">
        <v>8.3000000000000007</v>
      </c>
      <c r="R146">
        <v>0.433</v>
      </c>
      <c r="S146">
        <v>1.3</v>
      </c>
      <c r="T146">
        <v>4.5999999999999996</v>
      </c>
      <c r="U146">
        <v>0.27800000000000002</v>
      </c>
      <c r="V146">
        <v>2.2999999999999998</v>
      </c>
      <c r="W146">
        <v>3.6</v>
      </c>
      <c r="X146">
        <v>0.629</v>
      </c>
      <c r="Y146">
        <v>0.51100000000000001</v>
      </c>
      <c r="Z146">
        <v>2</v>
      </c>
      <c r="AA146">
        <v>2.2000000000000002</v>
      </c>
      <c r="AB146">
        <v>0.91900000000000004</v>
      </c>
    </row>
    <row r="147" spans="1:28" x14ac:dyDescent="0.25">
      <c r="A147" t="s">
        <v>40</v>
      </c>
      <c r="B147" t="s">
        <v>13</v>
      </c>
      <c r="C147">
        <v>30</v>
      </c>
      <c r="D147" t="s">
        <v>30</v>
      </c>
      <c r="E147">
        <v>10</v>
      </c>
      <c r="F147">
        <v>0</v>
      </c>
      <c r="G147">
        <v>12.1</v>
      </c>
      <c r="H147">
        <v>0.3</v>
      </c>
      <c r="I147">
        <v>0.9</v>
      </c>
      <c r="J147">
        <v>1.2</v>
      </c>
      <c r="K147">
        <v>0.4</v>
      </c>
      <c r="L147">
        <v>0.4</v>
      </c>
      <c r="M147">
        <v>0.7</v>
      </c>
      <c r="N147">
        <v>1.8</v>
      </c>
      <c r="O147">
        <v>2.8</v>
      </c>
      <c r="P147">
        <v>0.9</v>
      </c>
      <c r="Q147">
        <v>4.0999999999999996</v>
      </c>
      <c r="R147">
        <v>0.22</v>
      </c>
      <c r="S147">
        <v>0.3</v>
      </c>
      <c r="T147">
        <v>2.2999999999999998</v>
      </c>
      <c r="U147">
        <v>0.13</v>
      </c>
      <c r="V147">
        <v>0.6</v>
      </c>
      <c r="W147">
        <v>1.8</v>
      </c>
      <c r="X147">
        <v>0.33300000000000002</v>
      </c>
      <c r="Y147">
        <v>0.25600000000000001</v>
      </c>
      <c r="Z147">
        <v>0.7</v>
      </c>
      <c r="AA147">
        <v>0.8</v>
      </c>
      <c r="AB147">
        <v>0.875</v>
      </c>
    </row>
    <row r="148" spans="1:28" x14ac:dyDescent="0.25">
      <c r="A148" t="s">
        <v>215</v>
      </c>
      <c r="B148" t="s">
        <v>13</v>
      </c>
      <c r="C148">
        <v>23</v>
      </c>
      <c r="D148" t="s">
        <v>64</v>
      </c>
      <c r="E148">
        <v>3</v>
      </c>
      <c r="F148">
        <v>0</v>
      </c>
      <c r="G148">
        <v>4.7</v>
      </c>
      <c r="H148">
        <v>0.7</v>
      </c>
      <c r="I148">
        <v>0</v>
      </c>
      <c r="J148">
        <v>0.7</v>
      </c>
      <c r="K148">
        <v>0</v>
      </c>
      <c r="L148">
        <v>0</v>
      </c>
      <c r="M148">
        <v>0.7</v>
      </c>
      <c r="N148">
        <v>0.3</v>
      </c>
      <c r="O148">
        <v>1.7</v>
      </c>
      <c r="P148">
        <v>0.7</v>
      </c>
      <c r="Q148">
        <v>1</v>
      </c>
      <c r="R148">
        <v>0.66700000000000004</v>
      </c>
      <c r="S148">
        <v>0</v>
      </c>
      <c r="T148">
        <v>0</v>
      </c>
      <c r="U148">
        <v>0</v>
      </c>
      <c r="V148">
        <v>0.7</v>
      </c>
      <c r="W148">
        <v>1</v>
      </c>
      <c r="X148">
        <v>0.66700000000000004</v>
      </c>
      <c r="Y148">
        <v>0.66700000000000004</v>
      </c>
      <c r="Z148">
        <v>0.3</v>
      </c>
      <c r="AA148">
        <v>0.7</v>
      </c>
      <c r="AB148">
        <v>0.5</v>
      </c>
    </row>
    <row r="149" spans="1:28" x14ac:dyDescent="0.25">
      <c r="A149" t="s">
        <v>216</v>
      </c>
      <c r="B149" t="s">
        <v>29</v>
      </c>
      <c r="C149">
        <v>29</v>
      </c>
      <c r="D149" t="s">
        <v>59</v>
      </c>
      <c r="E149">
        <v>4</v>
      </c>
      <c r="F149">
        <v>4</v>
      </c>
      <c r="G149">
        <v>26</v>
      </c>
      <c r="H149">
        <v>3.3</v>
      </c>
      <c r="I149">
        <v>5</v>
      </c>
      <c r="J149">
        <v>8.3000000000000007</v>
      </c>
      <c r="K149">
        <v>2.8</v>
      </c>
      <c r="L149">
        <v>1.5</v>
      </c>
      <c r="M149">
        <v>1.5</v>
      </c>
      <c r="N149">
        <v>3.8</v>
      </c>
      <c r="O149">
        <v>7.8</v>
      </c>
      <c r="P149">
        <v>3.3</v>
      </c>
      <c r="Q149">
        <v>6.5</v>
      </c>
      <c r="R149">
        <v>0.5</v>
      </c>
      <c r="S149">
        <v>0</v>
      </c>
      <c r="T149">
        <v>0.5</v>
      </c>
      <c r="U149">
        <v>0</v>
      </c>
      <c r="V149">
        <v>3.3</v>
      </c>
      <c r="W149">
        <v>6</v>
      </c>
      <c r="X149">
        <v>0.54200000000000004</v>
      </c>
      <c r="Y149">
        <v>0.5</v>
      </c>
      <c r="Z149">
        <v>1.3</v>
      </c>
      <c r="AA149">
        <v>2.8</v>
      </c>
      <c r="AB149">
        <v>0.45500000000000002</v>
      </c>
    </row>
    <row r="150" spans="1:28" x14ac:dyDescent="0.25">
      <c r="A150" t="s">
        <v>217</v>
      </c>
      <c r="B150" t="s">
        <v>42</v>
      </c>
      <c r="C150">
        <v>30</v>
      </c>
      <c r="D150" t="s">
        <v>59</v>
      </c>
      <c r="E150">
        <v>4</v>
      </c>
      <c r="F150">
        <v>2</v>
      </c>
      <c r="G150">
        <v>26</v>
      </c>
      <c r="H150">
        <v>1.3</v>
      </c>
      <c r="I150">
        <v>3.5</v>
      </c>
      <c r="J150">
        <v>4.8</v>
      </c>
      <c r="K150">
        <v>1</v>
      </c>
      <c r="L150">
        <v>0.3</v>
      </c>
      <c r="M150">
        <v>0.5</v>
      </c>
      <c r="N150">
        <v>2.8</v>
      </c>
      <c r="O150">
        <v>5</v>
      </c>
      <c r="P150">
        <v>1.8</v>
      </c>
      <c r="Q150">
        <v>5.5</v>
      </c>
      <c r="R150">
        <v>0.318</v>
      </c>
      <c r="S150">
        <v>1.5</v>
      </c>
      <c r="T150">
        <v>4.5</v>
      </c>
      <c r="U150">
        <v>0.33300000000000002</v>
      </c>
      <c r="V150">
        <v>0.3</v>
      </c>
      <c r="W150">
        <v>1</v>
      </c>
      <c r="X150">
        <v>0.25</v>
      </c>
      <c r="Y150">
        <v>0.45500000000000002</v>
      </c>
      <c r="Z150">
        <v>0</v>
      </c>
      <c r="AA150">
        <v>0</v>
      </c>
      <c r="AB150">
        <v>0</v>
      </c>
    </row>
    <row r="151" spans="1:28" x14ac:dyDescent="0.25">
      <c r="A151" t="s">
        <v>218</v>
      </c>
      <c r="B151" t="s">
        <v>42</v>
      </c>
      <c r="C151">
        <v>25</v>
      </c>
      <c r="D151" t="s">
        <v>81</v>
      </c>
      <c r="E151">
        <v>2</v>
      </c>
      <c r="F151">
        <v>0</v>
      </c>
      <c r="G151">
        <v>5</v>
      </c>
      <c r="H151">
        <v>0</v>
      </c>
      <c r="I151">
        <v>0</v>
      </c>
      <c r="J151">
        <v>0</v>
      </c>
      <c r="K151">
        <v>0.5</v>
      </c>
      <c r="L151">
        <v>0</v>
      </c>
      <c r="M151">
        <v>0</v>
      </c>
      <c r="N151">
        <v>0</v>
      </c>
      <c r="O151">
        <v>3</v>
      </c>
      <c r="P151">
        <v>1</v>
      </c>
      <c r="Q151">
        <v>1.5</v>
      </c>
      <c r="R151">
        <v>0.66700000000000004</v>
      </c>
      <c r="S151">
        <v>0.5</v>
      </c>
      <c r="T151">
        <v>1</v>
      </c>
      <c r="U151">
        <v>0.5</v>
      </c>
      <c r="V151">
        <v>0.5</v>
      </c>
      <c r="W151">
        <v>0.5</v>
      </c>
      <c r="X151">
        <v>1</v>
      </c>
      <c r="Y151">
        <v>0.83299999999999996</v>
      </c>
      <c r="Z151">
        <v>0.5</v>
      </c>
      <c r="AA151">
        <v>0.5</v>
      </c>
      <c r="AB151">
        <v>1</v>
      </c>
    </row>
    <row r="152" spans="1:28" x14ac:dyDescent="0.25">
      <c r="A152" t="s">
        <v>99</v>
      </c>
      <c r="B152" t="s">
        <v>35</v>
      </c>
      <c r="C152">
        <v>25</v>
      </c>
      <c r="D152" t="s">
        <v>59</v>
      </c>
      <c r="E152">
        <v>4</v>
      </c>
      <c r="F152">
        <v>0</v>
      </c>
      <c r="G152">
        <v>7.3</v>
      </c>
      <c r="H152">
        <v>0</v>
      </c>
      <c r="I152">
        <v>1</v>
      </c>
      <c r="J152">
        <v>1</v>
      </c>
      <c r="K152">
        <v>0.5</v>
      </c>
      <c r="L152">
        <v>0.5</v>
      </c>
      <c r="M152">
        <v>0.5</v>
      </c>
      <c r="N152">
        <v>1.8</v>
      </c>
      <c r="O152">
        <v>3.5</v>
      </c>
      <c r="P152">
        <v>1.3</v>
      </c>
      <c r="Q152">
        <v>2.2999999999999998</v>
      </c>
      <c r="R152">
        <v>0.55600000000000005</v>
      </c>
      <c r="S152">
        <v>0.3</v>
      </c>
      <c r="T152">
        <v>0.8</v>
      </c>
      <c r="U152">
        <v>0.33300000000000002</v>
      </c>
      <c r="V152">
        <v>1</v>
      </c>
      <c r="W152">
        <v>1.5</v>
      </c>
      <c r="X152">
        <v>0.66700000000000004</v>
      </c>
      <c r="Y152">
        <v>0.61099999999999999</v>
      </c>
      <c r="Z152">
        <v>0.8</v>
      </c>
      <c r="AA152">
        <v>1.5</v>
      </c>
      <c r="AB152">
        <v>0.5</v>
      </c>
    </row>
    <row r="153" spans="1:28" x14ac:dyDescent="0.25">
      <c r="A153" t="s">
        <v>41</v>
      </c>
      <c r="B153" t="s">
        <v>42</v>
      </c>
      <c r="C153">
        <v>23</v>
      </c>
      <c r="D153" t="s">
        <v>30</v>
      </c>
      <c r="E153">
        <v>12</v>
      </c>
      <c r="F153">
        <v>7</v>
      </c>
      <c r="G153">
        <v>21.9</v>
      </c>
      <c r="H153">
        <v>0.4</v>
      </c>
      <c r="I153">
        <v>1.3</v>
      </c>
      <c r="J153">
        <v>1.8</v>
      </c>
      <c r="K153">
        <v>1.1000000000000001</v>
      </c>
      <c r="L153">
        <v>0.9</v>
      </c>
      <c r="M153">
        <v>0.9</v>
      </c>
      <c r="N153">
        <v>2.5</v>
      </c>
      <c r="O153">
        <v>5.5</v>
      </c>
      <c r="P153">
        <v>2.1</v>
      </c>
      <c r="Q153">
        <v>5.8</v>
      </c>
      <c r="R153">
        <v>0.35699999999999998</v>
      </c>
      <c r="S153">
        <v>0.8</v>
      </c>
      <c r="T153">
        <v>2.9</v>
      </c>
      <c r="U153">
        <v>0.25700000000000001</v>
      </c>
      <c r="V153">
        <v>1.3</v>
      </c>
      <c r="W153">
        <v>2.9</v>
      </c>
      <c r="X153">
        <v>0.45700000000000002</v>
      </c>
      <c r="Y153">
        <v>0.42099999999999999</v>
      </c>
      <c r="Z153">
        <v>0.6</v>
      </c>
      <c r="AA153">
        <v>0.8</v>
      </c>
      <c r="AB153">
        <v>0.77800000000000002</v>
      </c>
    </row>
    <row r="154" spans="1:28" x14ac:dyDescent="0.25">
      <c r="A154" t="s">
        <v>219</v>
      </c>
      <c r="B154" t="s">
        <v>42</v>
      </c>
      <c r="C154">
        <v>28</v>
      </c>
      <c r="D154" t="s">
        <v>87</v>
      </c>
      <c r="E154">
        <v>6</v>
      </c>
      <c r="F154">
        <v>6</v>
      </c>
      <c r="G154">
        <v>37.299999999999997</v>
      </c>
      <c r="H154">
        <v>1.5</v>
      </c>
      <c r="I154">
        <v>2.5</v>
      </c>
      <c r="J154">
        <v>4</v>
      </c>
      <c r="K154">
        <v>1.7</v>
      </c>
      <c r="L154">
        <v>1.8</v>
      </c>
      <c r="M154">
        <v>1.3</v>
      </c>
      <c r="N154">
        <v>4</v>
      </c>
      <c r="O154">
        <v>13.2</v>
      </c>
      <c r="P154">
        <v>5.2</v>
      </c>
      <c r="Q154">
        <v>10.7</v>
      </c>
      <c r="R154">
        <v>0.48399999999999999</v>
      </c>
      <c r="S154">
        <v>1.5</v>
      </c>
      <c r="T154">
        <v>3.8</v>
      </c>
      <c r="U154">
        <v>0.39100000000000001</v>
      </c>
      <c r="V154">
        <v>3.7</v>
      </c>
      <c r="W154">
        <v>6.8</v>
      </c>
      <c r="X154">
        <v>0.53700000000000003</v>
      </c>
      <c r="Y154">
        <v>0.55500000000000005</v>
      </c>
      <c r="Z154">
        <v>1.3</v>
      </c>
      <c r="AA154">
        <v>1.8</v>
      </c>
      <c r="AB154">
        <v>0.72699999999999998</v>
      </c>
    </row>
    <row r="155" spans="1:28" x14ac:dyDescent="0.25">
      <c r="A155" t="s">
        <v>220</v>
      </c>
      <c r="B155" t="s">
        <v>32</v>
      </c>
      <c r="C155">
        <v>29</v>
      </c>
      <c r="D155" t="s">
        <v>87</v>
      </c>
      <c r="E155">
        <v>5</v>
      </c>
      <c r="F155">
        <v>0</v>
      </c>
      <c r="G155">
        <v>12.2</v>
      </c>
      <c r="H155">
        <v>0</v>
      </c>
      <c r="I155">
        <v>1.2</v>
      </c>
      <c r="J155">
        <v>1.2</v>
      </c>
      <c r="K155">
        <v>1.4</v>
      </c>
      <c r="L155">
        <v>0.2</v>
      </c>
      <c r="M155">
        <v>0.6</v>
      </c>
      <c r="N155">
        <v>2</v>
      </c>
      <c r="O155">
        <v>5.6</v>
      </c>
      <c r="P155">
        <v>2</v>
      </c>
      <c r="Q155">
        <v>5</v>
      </c>
      <c r="R155">
        <v>0.4</v>
      </c>
      <c r="S155">
        <v>1.6</v>
      </c>
      <c r="T155">
        <v>3.6</v>
      </c>
      <c r="U155">
        <v>0.44400000000000001</v>
      </c>
      <c r="V155">
        <v>0.4</v>
      </c>
      <c r="W155">
        <v>1.4</v>
      </c>
      <c r="X155">
        <v>0.28599999999999998</v>
      </c>
      <c r="Y155">
        <v>0.56000000000000005</v>
      </c>
      <c r="Z155">
        <v>0</v>
      </c>
      <c r="AA155">
        <v>0</v>
      </c>
      <c r="AB155">
        <v>0</v>
      </c>
    </row>
    <row r="156" spans="1:28" x14ac:dyDescent="0.25">
      <c r="A156" t="s">
        <v>100</v>
      </c>
      <c r="B156" t="s">
        <v>35</v>
      </c>
      <c r="C156">
        <v>24</v>
      </c>
      <c r="D156" t="s">
        <v>64</v>
      </c>
      <c r="E156">
        <v>3</v>
      </c>
      <c r="F156">
        <v>0</v>
      </c>
      <c r="G156">
        <v>3.7</v>
      </c>
      <c r="H156">
        <v>0</v>
      </c>
      <c r="I156">
        <v>0.3</v>
      </c>
      <c r="J156">
        <v>0.3</v>
      </c>
      <c r="K156">
        <v>0.3</v>
      </c>
      <c r="L156">
        <v>0</v>
      </c>
      <c r="M156">
        <v>0</v>
      </c>
      <c r="N156">
        <v>0.3</v>
      </c>
      <c r="O156">
        <v>1.3</v>
      </c>
      <c r="P156">
        <v>0.7</v>
      </c>
      <c r="Q156">
        <v>1</v>
      </c>
      <c r="R156">
        <v>0.66700000000000004</v>
      </c>
      <c r="S156">
        <v>0</v>
      </c>
      <c r="T156">
        <v>0.3</v>
      </c>
      <c r="U156">
        <v>0</v>
      </c>
      <c r="V156">
        <v>0.7</v>
      </c>
      <c r="W156">
        <v>0.7</v>
      </c>
      <c r="X156">
        <v>1</v>
      </c>
      <c r="Y156">
        <v>0.66700000000000004</v>
      </c>
      <c r="Z156">
        <v>0</v>
      </c>
      <c r="AA156">
        <v>0</v>
      </c>
      <c r="AB156">
        <v>0</v>
      </c>
    </row>
    <row r="157" spans="1:28" x14ac:dyDescent="0.25">
      <c r="A157" t="s">
        <v>221</v>
      </c>
      <c r="B157" t="s">
        <v>29</v>
      </c>
      <c r="C157">
        <v>33</v>
      </c>
      <c r="D157" t="s">
        <v>95</v>
      </c>
      <c r="E157">
        <v>6</v>
      </c>
      <c r="F157">
        <v>0</v>
      </c>
      <c r="G157">
        <v>11</v>
      </c>
      <c r="H157">
        <v>1.2</v>
      </c>
      <c r="I157">
        <v>2.2000000000000002</v>
      </c>
      <c r="J157">
        <v>3.3</v>
      </c>
      <c r="K157">
        <v>0.7</v>
      </c>
      <c r="L157">
        <v>0.5</v>
      </c>
      <c r="M157">
        <v>0.3</v>
      </c>
      <c r="N157">
        <v>2.2000000000000002</v>
      </c>
      <c r="O157">
        <v>3.2</v>
      </c>
      <c r="P157">
        <v>1.2</v>
      </c>
      <c r="Q157">
        <v>3</v>
      </c>
      <c r="R157">
        <v>0.38900000000000001</v>
      </c>
      <c r="S157">
        <v>0</v>
      </c>
      <c r="T157">
        <v>0</v>
      </c>
      <c r="U157">
        <v>0</v>
      </c>
      <c r="V157">
        <v>1.2</v>
      </c>
      <c r="W157">
        <v>3</v>
      </c>
      <c r="X157">
        <v>0.38900000000000001</v>
      </c>
      <c r="Y157">
        <v>0.38900000000000001</v>
      </c>
      <c r="Z157">
        <v>0.8</v>
      </c>
      <c r="AA157">
        <v>1.3</v>
      </c>
      <c r="AB157">
        <v>0.625</v>
      </c>
    </row>
    <row r="158" spans="1:28" x14ac:dyDescent="0.25">
      <c r="A158" t="s">
        <v>222</v>
      </c>
      <c r="B158" t="s">
        <v>42</v>
      </c>
      <c r="C158">
        <v>25</v>
      </c>
      <c r="D158" t="s">
        <v>64</v>
      </c>
      <c r="E158">
        <v>12</v>
      </c>
      <c r="F158">
        <v>12</v>
      </c>
      <c r="G158">
        <v>36.9</v>
      </c>
      <c r="H158">
        <v>0.7</v>
      </c>
      <c r="I158">
        <v>6.2</v>
      </c>
      <c r="J158">
        <v>6.8</v>
      </c>
      <c r="K158">
        <v>1.1000000000000001</v>
      </c>
      <c r="L158">
        <v>0.9</v>
      </c>
      <c r="M158">
        <v>1.5</v>
      </c>
      <c r="N158">
        <v>2.2999999999999998</v>
      </c>
      <c r="O158">
        <v>15.8</v>
      </c>
      <c r="P158">
        <v>5.7</v>
      </c>
      <c r="Q158">
        <v>12.2</v>
      </c>
      <c r="R158">
        <v>0.46600000000000003</v>
      </c>
      <c r="S158">
        <v>2.8</v>
      </c>
      <c r="T158">
        <v>6.8</v>
      </c>
      <c r="U158">
        <v>0.40699999999999997</v>
      </c>
      <c r="V158">
        <v>2.9</v>
      </c>
      <c r="W158">
        <v>5.4</v>
      </c>
      <c r="X158">
        <v>0.53800000000000003</v>
      </c>
      <c r="Y158">
        <v>0.57899999999999996</v>
      </c>
      <c r="Z158">
        <v>1.7</v>
      </c>
      <c r="AA158">
        <v>2.2000000000000002</v>
      </c>
      <c r="AB158">
        <v>0.76900000000000002</v>
      </c>
    </row>
    <row r="159" spans="1:28" x14ac:dyDescent="0.25">
      <c r="A159" t="s">
        <v>223</v>
      </c>
      <c r="B159" t="s">
        <v>13</v>
      </c>
      <c r="C159">
        <v>28</v>
      </c>
      <c r="D159" t="s">
        <v>62</v>
      </c>
      <c r="E159">
        <v>6</v>
      </c>
      <c r="F159">
        <v>6</v>
      </c>
      <c r="G159">
        <v>31.2</v>
      </c>
      <c r="H159">
        <v>2.7</v>
      </c>
      <c r="I159">
        <v>8.6999999999999993</v>
      </c>
      <c r="J159">
        <v>11.3</v>
      </c>
      <c r="K159">
        <v>1</v>
      </c>
      <c r="L159">
        <v>0.5</v>
      </c>
      <c r="M159">
        <v>1.5</v>
      </c>
      <c r="N159">
        <v>2.2000000000000002</v>
      </c>
      <c r="O159">
        <v>16.5</v>
      </c>
      <c r="P159">
        <v>7.3</v>
      </c>
      <c r="Q159">
        <v>15.2</v>
      </c>
      <c r="R159">
        <v>0.48399999999999999</v>
      </c>
      <c r="S159">
        <v>0.5</v>
      </c>
      <c r="T159">
        <v>2</v>
      </c>
      <c r="U159">
        <v>0.25</v>
      </c>
      <c r="V159">
        <v>6.8</v>
      </c>
      <c r="W159">
        <v>13.2</v>
      </c>
      <c r="X159">
        <v>0.51900000000000002</v>
      </c>
      <c r="Y159">
        <v>0.5</v>
      </c>
      <c r="Z159">
        <v>1.3</v>
      </c>
      <c r="AA159">
        <v>2.2000000000000002</v>
      </c>
      <c r="AB159">
        <v>0.61499999999999999</v>
      </c>
    </row>
    <row r="160" spans="1:28" x14ac:dyDescent="0.25">
      <c r="A160" t="s">
        <v>224</v>
      </c>
      <c r="B160" t="s">
        <v>29</v>
      </c>
      <c r="C160">
        <v>28</v>
      </c>
      <c r="D160" t="s">
        <v>107</v>
      </c>
      <c r="E160">
        <v>7</v>
      </c>
      <c r="F160">
        <v>4</v>
      </c>
      <c r="G160">
        <v>23.6</v>
      </c>
      <c r="H160">
        <v>0.6</v>
      </c>
      <c r="I160">
        <v>3.9</v>
      </c>
      <c r="J160">
        <v>4.4000000000000004</v>
      </c>
      <c r="K160">
        <v>1.1000000000000001</v>
      </c>
      <c r="L160">
        <v>0.7</v>
      </c>
      <c r="M160">
        <v>0.7</v>
      </c>
      <c r="N160">
        <v>2.1</v>
      </c>
      <c r="O160">
        <v>12.3</v>
      </c>
      <c r="P160">
        <v>4</v>
      </c>
      <c r="Q160">
        <v>8.6</v>
      </c>
      <c r="R160">
        <v>0.46700000000000003</v>
      </c>
      <c r="S160">
        <v>1.4</v>
      </c>
      <c r="T160">
        <v>4.0999999999999996</v>
      </c>
      <c r="U160">
        <v>0.34499999999999997</v>
      </c>
      <c r="V160">
        <v>2.6</v>
      </c>
      <c r="W160">
        <v>4.4000000000000004</v>
      </c>
      <c r="X160">
        <v>0.58099999999999996</v>
      </c>
      <c r="Y160">
        <v>0.55000000000000004</v>
      </c>
      <c r="Z160">
        <v>2.9</v>
      </c>
      <c r="AA160">
        <v>3.1</v>
      </c>
      <c r="AB160">
        <v>0.90900000000000003</v>
      </c>
    </row>
    <row r="161" spans="1:28" x14ac:dyDescent="0.25">
      <c r="A161" t="s">
        <v>225</v>
      </c>
      <c r="B161" t="s">
        <v>29</v>
      </c>
      <c r="C161">
        <v>32</v>
      </c>
      <c r="D161" t="s">
        <v>78</v>
      </c>
      <c r="E161">
        <v>13</v>
      </c>
      <c r="F161">
        <v>0</v>
      </c>
      <c r="G161">
        <v>3.4</v>
      </c>
      <c r="H161">
        <v>0.2</v>
      </c>
      <c r="I161">
        <v>0.7</v>
      </c>
      <c r="J161">
        <v>0.9</v>
      </c>
      <c r="K161">
        <v>0.2</v>
      </c>
      <c r="L161">
        <v>0.1</v>
      </c>
      <c r="M161">
        <v>0.2</v>
      </c>
      <c r="N161">
        <v>0.7</v>
      </c>
      <c r="O161">
        <v>0.5</v>
      </c>
      <c r="P161">
        <v>0.1</v>
      </c>
      <c r="Q161">
        <v>0.2</v>
      </c>
      <c r="R161">
        <v>0.33300000000000002</v>
      </c>
      <c r="S161">
        <v>0</v>
      </c>
      <c r="T161">
        <v>0</v>
      </c>
      <c r="U161">
        <v>0</v>
      </c>
      <c r="V161">
        <v>0.1</v>
      </c>
      <c r="W161">
        <v>0.2</v>
      </c>
      <c r="X161">
        <v>0.33300000000000002</v>
      </c>
      <c r="Y161">
        <v>0.33300000000000002</v>
      </c>
      <c r="Z161">
        <v>0.3</v>
      </c>
      <c r="AA161">
        <v>0.5</v>
      </c>
      <c r="AB161">
        <v>0.66700000000000004</v>
      </c>
    </row>
    <row r="162" spans="1:28" x14ac:dyDescent="0.25">
      <c r="A162" t="s">
        <v>101</v>
      </c>
      <c r="B162" t="s">
        <v>35</v>
      </c>
      <c r="C162">
        <v>30</v>
      </c>
      <c r="D162" t="s">
        <v>95</v>
      </c>
      <c r="E162">
        <v>6</v>
      </c>
      <c r="F162">
        <v>0</v>
      </c>
      <c r="G162">
        <v>29.8</v>
      </c>
      <c r="H162">
        <v>0.5</v>
      </c>
      <c r="I162">
        <v>2.2999999999999998</v>
      </c>
      <c r="J162">
        <v>2.8</v>
      </c>
      <c r="K162">
        <v>0.3</v>
      </c>
      <c r="L162">
        <v>0.5</v>
      </c>
      <c r="M162">
        <v>1.2</v>
      </c>
      <c r="N162">
        <v>3.3</v>
      </c>
      <c r="O162">
        <v>12.8</v>
      </c>
      <c r="P162">
        <v>4.3</v>
      </c>
      <c r="Q162">
        <v>10.199999999999999</v>
      </c>
      <c r="R162">
        <v>0.42599999999999999</v>
      </c>
      <c r="S162">
        <v>2.2000000000000002</v>
      </c>
      <c r="T162">
        <v>4.8</v>
      </c>
      <c r="U162">
        <v>0.44800000000000001</v>
      </c>
      <c r="V162">
        <v>2.2000000000000002</v>
      </c>
      <c r="W162">
        <v>5.3</v>
      </c>
      <c r="X162">
        <v>0.40600000000000003</v>
      </c>
      <c r="Y162">
        <v>0.53300000000000003</v>
      </c>
      <c r="Z162">
        <v>2</v>
      </c>
      <c r="AA162">
        <v>2.5</v>
      </c>
      <c r="AB162">
        <v>0.8</v>
      </c>
    </row>
    <row r="163" spans="1:28" x14ac:dyDescent="0.25">
      <c r="A163" t="s">
        <v>52</v>
      </c>
      <c r="B163" t="s">
        <v>13</v>
      </c>
      <c r="C163">
        <v>29</v>
      </c>
      <c r="D163" t="s">
        <v>47</v>
      </c>
      <c r="E163">
        <v>5</v>
      </c>
      <c r="F163">
        <v>0</v>
      </c>
      <c r="G163">
        <v>22.2</v>
      </c>
      <c r="H163">
        <v>0.2</v>
      </c>
      <c r="I163">
        <v>2.2000000000000002</v>
      </c>
      <c r="J163">
        <v>2.4</v>
      </c>
      <c r="K163">
        <v>0.6</v>
      </c>
      <c r="L163">
        <v>0.2</v>
      </c>
      <c r="M163">
        <v>0.2</v>
      </c>
      <c r="N163">
        <v>1.8</v>
      </c>
      <c r="O163">
        <v>7.4</v>
      </c>
      <c r="P163">
        <v>2.4</v>
      </c>
      <c r="Q163">
        <v>5.8</v>
      </c>
      <c r="R163">
        <v>0.41399999999999998</v>
      </c>
      <c r="S163">
        <v>1</v>
      </c>
      <c r="T163">
        <v>3.4</v>
      </c>
      <c r="U163">
        <v>0.29399999999999998</v>
      </c>
      <c r="V163">
        <v>1.4</v>
      </c>
      <c r="W163">
        <v>2.4</v>
      </c>
      <c r="X163">
        <v>0.58299999999999996</v>
      </c>
      <c r="Y163">
        <v>0.5</v>
      </c>
      <c r="Z163">
        <v>1.6</v>
      </c>
      <c r="AA163">
        <v>1.6</v>
      </c>
      <c r="AB163">
        <v>1</v>
      </c>
    </row>
    <row r="164" spans="1:28" x14ac:dyDescent="0.25">
      <c r="A164" t="s">
        <v>226</v>
      </c>
      <c r="B164" t="s">
        <v>32</v>
      </c>
      <c r="C164">
        <v>26</v>
      </c>
      <c r="D164" t="s">
        <v>107</v>
      </c>
      <c r="E164">
        <v>19</v>
      </c>
      <c r="F164">
        <v>0</v>
      </c>
      <c r="G164">
        <v>18.7</v>
      </c>
      <c r="H164">
        <v>0.7</v>
      </c>
      <c r="I164">
        <v>1.2</v>
      </c>
      <c r="J164">
        <v>1.9</v>
      </c>
      <c r="K164">
        <v>2.1</v>
      </c>
      <c r="L164">
        <v>0.2</v>
      </c>
      <c r="M164">
        <v>0.7</v>
      </c>
      <c r="N164">
        <v>1.2</v>
      </c>
      <c r="O164">
        <v>6.4</v>
      </c>
      <c r="P164">
        <v>2.2999999999999998</v>
      </c>
      <c r="Q164">
        <v>5.5</v>
      </c>
      <c r="R164">
        <v>0.41899999999999998</v>
      </c>
      <c r="S164">
        <v>1.2</v>
      </c>
      <c r="T164">
        <v>3.2</v>
      </c>
      <c r="U164">
        <v>0.38300000000000001</v>
      </c>
      <c r="V164">
        <v>1.1000000000000001</v>
      </c>
      <c r="W164">
        <v>2.4</v>
      </c>
      <c r="X164">
        <v>0.46700000000000003</v>
      </c>
      <c r="Y164">
        <v>0.52900000000000003</v>
      </c>
      <c r="Z164">
        <v>0.6</v>
      </c>
      <c r="AA164">
        <v>0.6</v>
      </c>
      <c r="AB164">
        <v>0.91700000000000004</v>
      </c>
    </row>
    <row r="165" spans="1:28" x14ac:dyDescent="0.25">
      <c r="A165" t="s">
        <v>227</v>
      </c>
      <c r="B165" t="s">
        <v>13</v>
      </c>
      <c r="C165">
        <v>21</v>
      </c>
      <c r="D165" t="s">
        <v>78</v>
      </c>
      <c r="E165">
        <v>3</v>
      </c>
      <c r="F165">
        <v>0</v>
      </c>
      <c r="G165">
        <v>3</v>
      </c>
      <c r="H165">
        <v>0</v>
      </c>
      <c r="I165">
        <v>1</v>
      </c>
      <c r="J165">
        <v>1</v>
      </c>
      <c r="K165">
        <v>0.3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0.7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0.7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 x14ac:dyDescent="0.25">
      <c r="A166" t="s">
        <v>228</v>
      </c>
      <c r="B166" t="s">
        <v>29</v>
      </c>
      <c r="C166">
        <v>24</v>
      </c>
      <c r="D166" t="s">
        <v>107</v>
      </c>
      <c r="E166">
        <v>3</v>
      </c>
      <c r="F166">
        <v>0</v>
      </c>
      <c r="G166">
        <v>4.3</v>
      </c>
      <c r="H166">
        <v>0.3</v>
      </c>
      <c r="I166">
        <v>0.7</v>
      </c>
      <c r="J166">
        <v>1</v>
      </c>
      <c r="K166">
        <v>0</v>
      </c>
      <c r="L166">
        <v>0</v>
      </c>
      <c r="M166">
        <v>0</v>
      </c>
      <c r="N166">
        <v>0</v>
      </c>
      <c r="O166">
        <v>1.3</v>
      </c>
      <c r="P166">
        <v>0.7</v>
      </c>
      <c r="Q166">
        <v>1</v>
      </c>
      <c r="R166">
        <v>0.66700000000000004</v>
      </c>
      <c r="S166">
        <v>0</v>
      </c>
      <c r="T166">
        <v>0</v>
      </c>
      <c r="U166">
        <v>0</v>
      </c>
      <c r="V166">
        <v>0.7</v>
      </c>
      <c r="W166">
        <v>1</v>
      </c>
      <c r="X166">
        <v>0.66700000000000004</v>
      </c>
      <c r="Y166">
        <v>0.66700000000000004</v>
      </c>
      <c r="Z166">
        <v>0</v>
      </c>
      <c r="AA166">
        <v>0</v>
      </c>
      <c r="AB166">
        <v>0</v>
      </c>
    </row>
    <row r="167" spans="1:28" x14ac:dyDescent="0.25">
      <c r="A167" t="s">
        <v>53</v>
      </c>
      <c r="B167" t="s">
        <v>35</v>
      </c>
      <c r="C167">
        <v>25</v>
      </c>
      <c r="D167" t="s">
        <v>47</v>
      </c>
      <c r="E167">
        <v>5</v>
      </c>
      <c r="F167">
        <v>5</v>
      </c>
      <c r="G167">
        <v>34.799999999999997</v>
      </c>
      <c r="H167">
        <v>1</v>
      </c>
      <c r="I167">
        <v>2.8</v>
      </c>
      <c r="J167">
        <v>3.8</v>
      </c>
      <c r="K167">
        <v>3.6</v>
      </c>
      <c r="L167">
        <v>1.4</v>
      </c>
      <c r="M167">
        <v>0.8</v>
      </c>
      <c r="N167">
        <v>1.6</v>
      </c>
      <c r="O167">
        <v>16.8</v>
      </c>
      <c r="P167">
        <v>6</v>
      </c>
      <c r="Q167">
        <v>12.6</v>
      </c>
      <c r="R167">
        <v>0.47599999999999998</v>
      </c>
      <c r="S167">
        <v>1.4</v>
      </c>
      <c r="T167">
        <v>5.2</v>
      </c>
      <c r="U167">
        <v>0.26900000000000002</v>
      </c>
      <c r="V167">
        <v>4.5999999999999996</v>
      </c>
      <c r="W167">
        <v>7.4</v>
      </c>
      <c r="X167">
        <v>0.622</v>
      </c>
      <c r="Y167">
        <v>0.53200000000000003</v>
      </c>
      <c r="Z167">
        <v>3.4</v>
      </c>
      <c r="AA167">
        <v>3.8</v>
      </c>
      <c r="AB167">
        <v>0.89500000000000002</v>
      </c>
    </row>
    <row r="168" spans="1:28" x14ac:dyDescent="0.25">
      <c r="A168" t="s">
        <v>229</v>
      </c>
      <c r="B168" t="s">
        <v>29</v>
      </c>
      <c r="C168">
        <v>24</v>
      </c>
      <c r="D168" t="s">
        <v>87</v>
      </c>
      <c r="E168">
        <v>6</v>
      </c>
      <c r="F168">
        <v>0</v>
      </c>
      <c r="G168">
        <v>7.2</v>
      </c>
      <c r="H168">
        <v>1.5</v>
      </c>
      <c r="I168">
        <v>1.2</v>
      </c>
      <c r="J168">
        <v>2.7</v>
      </c>
      <c r="K168">
        <v>0.3</v>
      </c>
      <c r="L168">
        <v>0.2</v>
      </c>
      <c r="M168">
        <v>0.5</v>
      </c>
      <c r="N168">
        <v>1.2</v>
      </c>
      <c r="O168">
        <v>1.5</v>
      </c>
      <c r="P168">
        <v>0.7</v>
      </c>
      <c r="Q168">
        <v>1.5</v>
      </c>
      <c r="R168">
        <v>0.44400000000000001</v>
      </c>
      <c r="S168">
        <v>0</v>
      </c>
      <c r="T168">
        <v>0</v>
      </c>
      <c r="U168">
        <v>0</v>
      </c>
      <c r="V168">
        <v>0.7</v>
      </c>
      <c r="W168">
        <v>1.5</v>
      </c>
      <c r="X168">
        <v>0.44400000000000001</v>
      </c>
      <c r="Y168">
        <v>0.44400000000000001</v>
      </c>
      <c r="Z168">
        <v>0.2</v>
      </c>
      <c r="AA168">
        <v>0.3</v>
      </c>
      <c r="AB168">
        <v>0.5</v>
      </c>
    </row>
    <row r="169" spans="1:28" x14ac:dyDescent="0.25">
      <c r="A169" t="s">
        <v>230</v>
      </c>
      <c r="B169" t="s">
        <v>29</v>
      </c>
      <c r="C169">
        <v>24</v>
      </c>
      <c r="D169" t="s">
        <v>57</v>
      </c>
      <c r="E169">
        <v>16</v>
      </c>
      <c r="F169">
        <v>0</v>
      </c>
      <c r="G169">
        <v>22.6</v>
      </c>
      <c r="H169">
        <v>0.6</v>
      </c>
      <c r="I169">
        <v>3.1</v>
      </c>
      <c r="J169">
        <v>3.7</v>
      </c>
      <c r="K169">
        <v>1</v>
      </c>
      <c r="L169">
        <v>0.5</v>
      </c>
      <c r="M169">
        <v>0.9</v>
      </c>
      <c r="N169">
        <v>2</v>
      </c>
      <c r="O169">
        <v>11.1</v>
      </c>
      <c r="P169">
        <v>4.0999999999999996</v>
      </c>
      <c r="Q169">
        <v>8.9</v>
      </c>
      <c r="R169">
        <v>0.45800000000000002</v>
      </c>
      <c r="S169">
        <v>1.6</v>
      </c>
      <c r="T169">
        <v>4.3</v>
      </c>
      <c r="U169">
        <v>0.36199999999999999</v>
      </c>
      <c r="V169">
        <v>2.5</v>
      </c>
      <c r="W169">
        <v>4.5999999999999996</v>
      </c>
      <c r="X169">
        <v>0.54800000000000004</v>
      </c>
      <c r="Y169">
        <v>0.54600000000000004</v>
      </c>
      <c r="Z169">
        <v>1.4</v>
      </c>
      <c r="AA169">
        <v>1.9</v>
      </c>
      <c r="AB169">
        <v>0.71</v>
      </c>
    </row>
    <row r="170" spans="1:28" x14ac:dyDescent="0.25">
      <c r="A170" t="s">
        <v>231</v>
      </c>
      <c r="B170" t="s">
        <v>42</v>
      </c>
      <c r="C170">
        <v>29</v>
      </c>
      <c r="D170" t="s">
        <v>85</v>
      </c>
      <c r="E170">
        <v>5</v>
      </c>
      <c r="F170">
        <v>0</v>
      </c>
      <c r="G170">
        <v>12</v>
      </c>
      <c r="H170">
        <v>0</v>
      </c>
      <c r="I170">
        <v>1</v>
      </c>
      <c r="J170">
        <v>1</v>
      </c>
      <c r="K170">
        <v>1.2</v>
      </c>
      <c r="L170">
        <v>0.4</v>
      </c>
      <c r="M170">
        <v>1</v>
      </c>
      <c r="N170">
        <v>1.2</v>
      </c>
      <c r="O170">
        <v>2.6</v>
      </c>
      <c r="P170">
        <v>1</v>
      </c>
      <c r="Q170">
        <v>3.2</v>
      </c>
      <c r="R170">
        <v>0.313</v>
      </c>
      <c r="S170">
        <v>0.6</v>
      </c>
      <c r="T170">
        <v>2.6</v>
      </c>
      <c r="U170">
        <v>0.23100000000000001</v>
      </c>
      <c r="V170">
        <v>0.4</v>
      </c>
      <c r="W170">
        <v>0.6</v>
      </c>
      <c r="X170">
        <v>0.66700000000000004</v>
      </c>
      <c r="Y170">
        <v>0.40600000000000003</v>
      </c>
      <c r="Z170">
        <v>0</v>
      </c>
      <c r="AA170">
        <v>0</v>
      </c>
      <c r="AB170">
        <v>0</v>
      </c>
    </row>
    <row r="171" spans="1:28" x14ac:dyDescent="0.25">
      <c r="A171" t="s">
        <v>232</v>
      </c>
      <c r="B171" t="s">
        <v>29</v>
      </c>
      <c r="C171">
        <v>25</v>
      </c>
      <c r="D171" t="s">
        <v>71</v>
      </c>
      <c r="E171">
        <v>6</v>
      </c>
      <c r="F171">
        <v>0</v>
      </c>
      <c r="G171">
        <v>19.2</v>
      </c>
      <c r="H171">
        <v>3.8</v>
      </c>
      <c r="I171">
        <v>3</v>
      </c>
      <c r="J171">
        <v>6.8</v>
      </c>
      <c r="K171">
        <v>0.5</v>
      </c>
      <c r="L171">
        <v>1</v>
      </c>
      <c r="M171">
        <v>0.5</v>
      </c>
      <c r="N171">
        <v>2.5</v>
      </c>
      <c r="O171">
        <v>2.8</v>
      </c>
      <c r="P171">
        <v>1.2</v>
      </c>
      <c r="Q171">
        <v>2.2999999999999998</v>
      </c>
      <c r="R171">
        <v>0.5</v>
      </c>
      <c r="S171">
        <v>0</v>
      </c>
      <c r="T171">
        <v>0</v>
      </c>
      <c r="U171">
        <v>0</v>
      </c>
      <c r="V171">
        <v>1.2</v>
      </c>
      <c r="W171">
        <v>2.2999999999999998</v>
      </c>
      <c r="X171">
        <v>0.5</v>
      </c>
      <c r="Y171">
        <v>0.5</v>
      </c>
      <c r="Z171">
        <v>0.5</v>
      </c>
      <c r="AA171">
        <v>1.3</v>
      </c>
      <c r="AB171">
        <v>0.375</v>
      </c>
    </row>
    <row r="172" spans="1:28" x14ac:dyDescent="0.25">
      <c r="A172" t="s">
        <v>233</v>
      </c>
      <c r="B172" t="s">
        <v>29</v>
      </c>
      <c r="C172">
        <v>23</v>
      </c>
      <c r="D172" t="s">
        <v>85</v>
      </c>
      <c r="E172">
        <v>1</v>
      </c>
      <c r="F172">
        <v>0</v>
      </c>
      <c r="G172">
        <v>2</v>
      </c>
      <c r="H172">
        <v>0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 x14ac:dyDescent="0.25">
      <c r="A173" t="s">
        <v>234</v>
      </c>
      <c r="B173" t="s">
        <v>13</v>
      </c>
      <c r="C173">
        <v>23</v>
      </c>
      <c r="D173" t="s">
        <v>83</v>
      </c>
      <c r="E173">
        <v>1</v>
      </c>
      <c r="F173">
        <v>0</v>
      </c>
      <c r="G173">
        <v>5</v>
      </c>
      <c r="H173">
        <v>1</v>
      </c>
      <c r="I173">
        <v>0</v>
      </c>
      <c r="J173">
        <v>1</v>
      </c>
      <c r="K173">
        <v>1</v>
      </c>
      <c r="L173">
        <v>0</v>
      </c>
      <c r="M173">
        <v>0</v>
      </c>
      <c r="N173">
        <v>0</v>
      </c>
      <c r="O173">
        <v>2</v>
      </c>
      <c r="P173">
        <v>1</v>
      </c>
      <c r="Q173">
        <v>2</v>
      </c>
      <c r="R173">
        <v>0.5</v>
      </c>
      <c r="S173">
        <v>0</v>
      </c>
      <c r="T173">
        <v>0</v>
      </c>
      <c r="U173">
        <v>0</v>
      </c>
      <c r="V173">
        <v>1</v>
      </c>
      <c r="W173">
        <v>2</v>
      </c>
      <c r="X173">
        <v>0.5</v>
      </c>
      <c r="Y173">
        <v>0.5</v>
      </c>
      <c r="Z173">
        <v>0</v>
      </c>
      <c r="AA173">
        <v>2</v>
      </c>
      <c r="AB173">
        <v>0</v>
      </c>
    </row>
    <row r="174" spans="1:28" x14ac:dyDescent="0.25">
      <c r="A174" t="s">
        <v>235</v>
      </c>
      <c r="B174" t="s">
        <v>13</v>
      </c>
      <c r="C174">
        <v>22</v>
      </c>
      <c r="D174" t="s">
        <v>59</v>
      </c>
      <c r="E174">
        <v>2</v>
      </c>
      <c r="F174">
        <v>0</v>
      </c>
      <c r="G174">
        <v>1.5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 x14ac:dyDescent="0.25">
      <c r="A175" t="s">
        <v>54</v>
      </c>
      <c r="B175" t="s">
        <v>32</v>
      </c>
      <c r="C175">
        <v>27</v>
      </c>
      <c r="D175" t="s">
        <v>47</v>
      </c>
      <c r="E175">
        <v>5</v>
      </c>
      <c r="F175">
        <v>5</v>
      </c>
      <c r="G175">
        <v>37</v>
      </c>
      <c r="H175">
        <v>0.2</v>
      </c>
      <c r="I175">
        <v>2.6</v>
      </c>
      <c r="J175">
        <v>2.8</v>
      </c>
      <c r="K175">
        <v>4.2</v>
      </c>
      <c r="L175">
        <v>0.8</v>
      </c>
      <c r="M175">
        <v>1.8</v>
      </c>
      <c r="N175">
        <v>1.2</v>
      </c>
      <c r="O175">
        <v>14.2</v>
      </c>
      <c r="P175">
        <v>5.6</v>
      </c>
      <c r="Q175">
        <v>14.6</v>
      </c>
      <c r="R175">
        <v>0.38400000000000001</v>
      </c>
      <c r="S175">
        <v>2.8</v>
      </c>
      <c r="T175">
        <v>8.8000000000000007</v>
      </c>
      <c r="U175">
        <v>0.318</v>
      </c>
      <c r="V175">
        <v>2.8</v>
      </c>
      <c r="W175">
        <v>5.8</v>
      </c>
      <c r="X175">
        <v>0.48299999999999998</v>
      </c>
      <c r="Y175">
        <v>0.47899999999999998</v>
      </c>
      <c r="Z175">
        <v>0.2</v>
      </c>
      <c r="AA175">
        <v>0.4</v>
      </c>
      <c r="AB175">
        <v>0.5</v>
      </c>
    </row>
    <row r="176" spans="1:28" x14ac:dyDescent="0.25">
      <c r="A176" t="s">
        <v>236</v>
      </c>
      <c r="B176" t="s">
        <v>42</v>
      </c>
      <c r="C176">
        <v>26</v>
      </c>
      <c r="D176" t="s">
        <v>83</v>
      </c>
      <c r="E176">
        <v>1</v>
      </c>
      <c r="F176">
        <v>0</v>
      </c>
      <c r="G176">
        <v>3</v>
      </c>
      <c r="H176">
        <v>0</v>
      </c>
      <c r="I176">
        <v>1</v>
      </c>
      <c r="J176">
        <v>1</v>
      </c>
      <c r="K176">
        <v>0</v>
      </c>
      <c r="L176">
        <v>1</v>
      </c>
      <c r="M176">
        <v>1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0</v>
      </c>
      <c r="T176">
        <v>1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 x14ac:dyDescent="0.25">
      <c r="A177" t="s">
        <v>102</v>
      </c>
      <c r="B177" t="s">
        <v>35</v>
      </c>
      <c r="C177">
        <v>22</v>
      </c>
      <c r="D177" t="s">
        <v>66</v>
      </c>
      <c r="E177">
        <v>17</v>
      </c>
      <c r="F177">
        <v>2</v>
      </c>
      <c r="G177">
        <v>19.7</v>
      </c>
      <c r="H177">
        <v>0.6</v>
      </c>
      <c r="I177">
        <v>2.4</v>
      </c>
      <c r="J177">
        <v>3</v>
      </c>
      <c r="K177">
        <v>1</v>
      </c>
      <c r="L177">
        <v>0.5</v>
      </c>
      <c r="M177">
        <v>0.6</v>
      </c>
      <c r="N177">
        <v>1.9</v>
      </c>
      <c r="O177">
        <v>5.2</v>
      </c>
      <c r="P177">
        <v>1.8</v>
      </c>
      <c r="Q177">
        <v>4.2</v>
      </c>
      <c r="R177">
        <v>0.437</v>
      </c>
      <c r="S177">
        <v>1.1000000000000001</v>
      </c>
      <c r="T177">
        <v>2.9</v>
      </c>
      <c r="U177">
        <v>0.38</v>
      </c>
      <c r="V177">
        <v>0.7</v>
      </c>
      <c r="W177">
        <v>1.2</v>
      </c>
      <c r="X177">
        <v>0.57099999999999995</v>
      </c>
      <c r="Y177">
        <v>0.56999999999999995</v>
      </c>
      <c r="Z177">
        <v>0.4</v>
      </c>
      <c r="AA177">
        <v>0.5</v>
      </c>
      <c r="AB177">
        <v>0.77800000000000002</v>
      </c>
    </row>
    <row r="178" spans="1:28" x14ac:dyDescent="0.25">
      <c r="A178" t="s">
        <v>237</v>
      </c>
      <c r="B178" t="s">
        <v>13</v>
      </c>
      <c r="C178">
        <v>29</v>
      </c>
      <c r="D178" t="s">
        <v>66</v>
      </c>
      <c r="E178">
        <v>17</v>
      </c>
      <c r="F178">
        <v>17</v>
      </c>
      <c r="G178">
        <v>35.5</v>
      </c>
      <c r="H178">
        <v>2.5</v>
      </c>
      <c r="I178">
        <v>5.0999999999999996</v>
      </c>
      <c r="J178">
        <v>7.5</v>
      </c>
      <c r="K178">
        <v>3.8</v>
      </c>
      <c r="L178">
        <v>0.8</v>
      </c>
      <c r="M178">
        <v>1.1000000000000001</v>
      </c>
      <c r="N178">
        <v>2.8</v>
      </c>
      <c r="O178">
        <v>21.6</v>
      </c>
      <c r="P178">
        <v>9.1999999999999993</v>
      </c>
      <c r="Q178">
        <v>17.100000000000001</v>
      </c>
      <c r="R178">
        <v>0.54100000000000004</v>
      </c>
      <c r="S178">
        <v>0.8</v>
      </c>
      <c r="T178">
        <v>2.8</v>
      </c>
      <c r="U178">
        <v>0.29799999999999999</v>
      </c>
      <c r="V178">
        <v>8.4</v>
      </c>
      <c r="W178">
        <v>14.3</v>
      </c>
      <c r="X178">
        <v>0.58799999999999997</v>
      </c>
      <c r="Y178">
        <v>0.56599999999999995</v>
      </c>
      <c r="Z178">
        <v>2.2999999999999998</v>
      </c>
      <c r="AA178">
        <v>3.7</v>
      </c>
      <c r="AB178">
        <v>0.61899999999999999</v>
      </c>
    </row>
    <row r="179" spans="1:28" x14ac:dyDescent="0.25">
      <c r="A179" t="s">
        <v>238</v>
      </c>
      <c r="B179" t="s">
        <v>29</v>
      </c>
      <c r="C179">
        <v>25</v>
      </c>
      <c r="D179" t="s">
        <v>71</v>
      </c>
      <c r="E179">
        <v>5</v>
      </c>
      <c r="F179">
        <v>0</v>
      </c>
      <c r="G179">
        <v>5.4</v>
      </c>
      <c r="H179">
        <v>0.6</v>
      </c>
      <c r="I179">
        <v>1</v>
      </c>
      <c r="J179">
        <v>1.6</v>
      </c>
      <c r="K179">
        <v>0.2</v>
      </c>
      <c r="L179">
        <v>0.4</v>
      </c>
      <c r="M179">
        <v>0</v>
      </c>
      <c r="N179">
        <v>0.2</v>
      </c>
      <c r="O179">
        <v>1.4</v>
      </c>
      <c r="P179">
        <v>0.4</v>
      </c>
      <c r="Q179">
        <v>0.4</v>
      </c>
      <c r="R179">
        <v>1</v>
      </c>
      <c r="S179">
        <v>0</v>
      </c>
      <c r="T179">
        <v>0</v>
      </c>
      <c r="U179">
        <v>0</v>
      </c>
      <c r="V179">
        <v>0.4</v>
      </c>
      <c r="W179">
        <v>0.4</v>
      </c>
      <c r="X179">
        <v>1</v>
      </c>
      <c r="Y179">
        <v>1</v>
      </c>
      <c r="Z179">
        <v>0.6</v>
      </c>
      <c r="AA179">
        <v>0.8</v>
      </c>
      <c r="AB179">
        <v>0.75</v>
      </c>
    </row>
    <row r="180" spans="1:28" x14ac:dyDescent="0.25">
      <c r="A180" t="s">
        <v>239</v>
      </c>
      <c r="B180" t="s">
        <v>29</v>
      </c>
      <c r="C180">
        <v>23</v>
      </c>
      <c r="D180" t="s">
        <v>66</v>
      </c>
      <c r="E180">
        <v>7</v>
      </c>
      <c r="F180">
        <v>0</v>
      </c>
      <c r="G180">
        <v>6</v>
      </c>
      <c r="H180">
        <v>1</v>
      </c>
      <c r="I180">
        <v>1</v>
      </c>
      <c r="J180">
        <v>2</v>
      </c>
      <c r="K180">
        <v>0.3</v>
      </c>
      <c r="L180">
        <v>0.3</v>
      </c>
      <c r="M180">
        <v>0.6</v>
      </c>
      <c r="N180">
        <v>1.1000000000000001</v>
      </c>
      <c r="O180">
        <v>1.9</v>
      </c>
      <c r="P180">
        <v>0.4</v>
      </c>
      <c r="Q180">
        <v>1.1000000000000001</v>
      </c>
      <c r="R180">
        <v>0.375</v>
      </c>
      <c r="S180">
        <v>0.3</v>
      </c>
      <c r="T180">
        <v>0.6</v>
      </c>
      <c r="U180">
        <v>0.5</v>
      </c>
      <c r="V180">
        <v>0.1</v>
      </c>
      <c r="W180">
        <v>0.6</v>
      </c>
      <c r="X180">
        <v>0.25</v>
      </c>
      <c r="Y180">
        <v>0.5</v>
      </c>
      <c r="Z180">
        <v>0.7</v>
      </c>
      <c r="AA180">
        <v>1.1000000000000001</v>
      </c>
      <c r="AB180">
        <v>0.625</v>
      </c>
    </row>
    <row r="181" spans="1:28" x14ac:dyDescent="0.25">
      <c r="A181" t="s">
        <v>240</v>
      </c>
      <c r="B181" t="s">
        <v>32</v>
      </c>
      <c r="C181">
        <v>21</v>
      </c>
      <c r="D181" t="s">
        <v>107</v>
      </c>
      <c r="E181">
        <v>4</v>
      </c>
      <c r="F181">
        <v>0</v>
      </c>
      <c r="G181">
        <v>5.5</v>
      </c>
      <c r="H181">
        <v>0</v>
      </c>
      <c r="I181">
        <v>0.8</v>
      </c>
      <c r="J181">
        <v>0.8</v>
      </c>
      <c r="K181">
        <v>0.3</v>
      </c>
      <c r="L181">
        <v>0</v>
      </c>
      <c r="M181">
        <v>0.5</v>
      </c>
      <c r="N181">
        <v>0.3</v>
      </c>
      <c r="O181">
        <v>1</v>
      </c>
      <c r="P181">
        <v>0.5</v>
      </c>
      <c r="Q181">
        <v>0.8</v>
      </c>
      <c r="R181">
        <v>0.66700000000000004</v>
      </c>
      <c r="S181">
        <v>0</v>
      </c>
      <c r="T181">
        <v>0</v>
      </c>
      <c r="U181">
        <v>0</v>
      </c>
      <c r="V181">
        <v>0.5</v>
      </c>
      <c r="W181">
        <v>0.8</v>
      </c>
      <c r="X181">
        <v>0.66700000000000004</v>
      </c>
      <c r="Y181">
        <v>0.66700000000000004</v>
      </c>
      <c r="Z181">
        <v>0</v>
      </c>
      <c r="AA181">
        <v>0</v>
      </c>
      <c r="AB181">
        <v>0</v>
      </c>
    </row>
    <row r="182" spans="1:28" x14ac:dyDescent="0.25">
      <c r="A182" t="s">
        <v>241</v>
      </c>
      <c r="B182" t="s">
        <v>42</v>
      </c>
      <c r="C182">
        <v>21</v>
      </c>
      <c r="D182" t="s">
        <v>64</v>
      </c>
      <c r="E182">
        <v>3</v>
      </c>
      <c r="F182">
        <v>0</v>
      </c>
      <c r="G182">
        <v>5.3</v>
      </c>
      <c r="H182">
        <v>0</v>
      </c>
      <c r="I182">
        <v>0.7</v>
      </c>
      <c r="J182">
        <v>0.7</v>
      </c>
      <c r="K182">
        <v>0</v>
      </c>
      <c r="L182">
        <v>0.3</v>
      </c>
      <c r="M182">
        <v>0.3</v>
      </c>
      <c r="N182">
        <v>1</v>
      </c>
      <c r="O182">
        <v>2.2999999999999998</v>
      </c>
      <c r="P182">
        <v>0.7</v>
      </c>
      <c r="Q182">
        <v>2</v>
      </c>
      <c r="R182">
        <v>0.33300000000000002</v>
      </c>
      <c r="S182">
        <v>0.3</v>
      </c>
      <c r="T182">
        <v>1.3</v>
      </c>
      <c r="U182">
        <v>0.25</v>
      </c>
      <c r="V182">
        <v>0.3</v>
      </c>
      <c r="W182">
        <v>0.7</v>
      </c>
      <c r="X182">
        <v>0.5</v>
      </c>
      <c r="Y182">
        <v>0.41699999999999998</v>
      </c>
      <c r="Z182">
        <v>0.7</v>
      </c>
      <c r="AA182">
        <v>1.3</v>
      </c>
      <c r="AB182">
        <v>0.5</v>
      </c>
    </row>
    <row r="183" spans="1:28" x14ac:dyDescent="0.25">
      <c r="A183" t="s">
        <v>43</v>
      </c>
      <c r="B183" t="s">
        <v>42</v>
      </c>
      <c r="C183">
        <v>27</v>
      </c>
      <c r="D183" t="s">
        <v>30</v>
      </c>
      <c r="E183">
        <v>12</v>
      </c>
      <c r="F183">
        <v>12</v>
      </c>
      <c r="G183">
        <v>36.200000000000003</v>
      </c>
      <c r="H183">
        <v>0.7</v>
      </c>
      <c r="I183">
        <v>4.7</v>
      </c>
      <c r="J183">
        <v>5.3</v>
      </c>
      <c r="K183">
        <v>2.9</v>
      </c>
      <c r="L183">
        <v>0.8</v>
      </c>
      <c r="M183">
        <v>1.3</v>
      </c>
      <c r="N183">
        <v>3.4</v>
      </c>
      <c r="O183">
        <v>9.5</v>
      </c>
      <c r="P183">
        <v>3.5</v>
      </c>
      <c r="Q183">
        <v>8.6</v>
      </c>
      <c r="R183">
        <v>0.40799999999999997</v>
      </c>
      <c r="S183">
        <v>2.1</v>
      </c>
      <c r="T183">
        <v>6</v>
      </c>
      <c r="U183">
        <v>0.34699999999999998</v>
      </c>
      <c r="V183">
        <v>1.4</v>
      </c>
      <c r="W183">
        <v>2.6</v>
      </c>
      <c r="X183">
        <v>0.54800000000000004</v>
      </c>
      <c r="Y183">
        <v>0.52900000000000003</v>
      </c>
      <c r="Z183">
        <v>0.4</v>
      </c>
      <c r="AA183">
        <v>0.4</v>
      </c>
      <c r="AB183">
        <v>1</v>
      </c>
    </row>
    <row r="184" spans="1:28" x14ac:dyDescent="0.25">
      <c r="A184" t="s">
        <v>103</v>
      </c>
      <c r="B184" t="s">
        <v>35</v>
      </c>
      <c r="C184">
        <v>22</v>
      </c>
      <c r="D184" t="s">
        <v>81</v>
      </c>
      <c r="E184">
        <v>7</v>
      </c>
      <c r="F184">
        <v>7</v>
      </c>
      <c r="G184">
        <v>33.1</v>
      </c>
      <c r="H184">
        <v>1.6</v>
      </c>
      <c r="I184">
        <v>3.6</v>
      </c>
      <c r="J184">
        <v>5.0999999999999996</v>
      </c>
      <c r="K184">
        <v>3.3</v>
      </c>
      <c r="L184">
        <v>1.3</v>
      </c>
      <c r="M184">
        <v>2.9</v>
      </c>
      <c r="N184">
        <v>2.6</v>
      </c>
      <c r="O184">
        <v>14.7</v>
      </c>
      <c r="P184">
        <v>4.7</v>
      </c>
      <c r="Q184">
        <v>11.7</v>
      </c>
      <c r="R184">
        <v>0.40200000000000002</v>
      </c>
      <c r="S184">
        <v>2</v>
      </c>
      <c r="T184">
        <v>6.9</v>
      </c>
      <c r="U184">
        <v>0.29199999999999998</v>
      </c>
      <c r="V184">
        <v>2.7</v>
      </c>
      <c r="W184">
        <v>4.9000000000000004</v>
      </c>
      <c r="X184">
        <v>0.55900000000000005</v>
      </c>
      <c r="Y184">
        <v>0.48799999999999999</v>
      </c>
      <c r="Z184">
        <v>3.3</v>
      </c>
      <c r="AA184">
        <v>4.3</v>
      </c>
      <c r="AB184">
        <v>0.76700000000000002</v>
      </c>
    </row>
    <row r="185" spans="1:28" x14ac:dyDescent="0.25">
      <c r="A185" t="s">
        <v>242</v>
      </c>
      <c r="B185" t="s">
        <v>13</v>
      </c>
      <c r="C185">
        <v>25</v>
      </c>
      <c r="D185" t="s">
        <v>107</v>
      </c>
      <c r="E185">
        <v>19</v>
      </c>
      <c r="F185">
        <v>19</v>
      </c>
      <c r="G185">
        <v>40.4</v>
      </c>
      <c r="H185">
        <v>0.9</v>
      </c>
      <c r="I185">
        <v>8.8000000000000007</v>
      </c>
      <c r="J185">
        <v>9.6999999999999993</v>
      </c>
      <c r="K185">
        <v>6.3</v>
      </c>
      <c r="L185">
        <v>1.1000000000000001</v>
      </c>
      <c r="M185">
        <v>2.6</v>
      </c>
      <c r="N185">
        <v>2.8</v>
      </c>
      <c r="O185">
        <v>25</v>
      </c>
      <c r="P185">
        <v>8.4</v>
      </c>
      <c r="Q185">
        <v>19.600000000000001</v>
      </c>
      <c r="R185">
        <v>0.42699999999999999</v>
      </c>
      <c r="S185">
        <v>2.1</v>
      </c>
      <c r="T185">
        <v>7.3</v>
      </c>
      <c r="U185">
        <v>0.28299999999999997</v>
      </c>
      <c r="V185">
        <v>6.3</v>
      </c>
      <c r="W185">
        <v>12.3</v>
      </c>
      <c r="X185">
        <v>0.51300000000000001</v>
      </c>
      <c r="Y185">
        <v>0.48</v>
      </c>
      <c r="Z185">
        <v>6.2</v>
      </c>
      <c r="AA185">
        <v>7.2</v>
      </c>
      <c r="AB185">
        <v>0.86099999999999999</v>
      </c>
    </row>
    <row r="186" spans="1:28" x14ac:dyDescent="0.25">
      <c r="A186" t="s">
        <v>243</v>
      </c>
      <c r="B186" t="s">
        <v>29</v>
      </c>
      <c r="C186">
        <v>31</v>
      </c>
      <c r="D186" t="s">
        <v>95</v>
      </c>
      <c r="E186">
        <v>1</v>
      </c>
      <c r="F186">
        <v>0</v>
      </c>
      <c r="G186">
        <v>4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3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1</v>
      </c>
      <c r="V186">
        <v>0</v>
      </c>
      <c r="W186">
        <v>0</v>
      </c>
      <c r="X186">
        <v>0</v>
      </c>
      <c r="Y186">
        <v>1.5</v>
      </c>
      <c r="Z186">
        <v>0</v>
      </c>
      <c r="AA186">
        <v>0</v>
      </c>
      <c r="AB186">
        <v>0</v>
      </c>
    </row>
    <row r="187" spans="1:28" x14ac:dyDescent="0.25">
      <c r="A187" t="s">
        <v>244</v>
      </c>
      <c r="B187" t="s">
        <v>32</v>
      </c>
      <c r="C187">
        <v>34</v>
      </c>
      <c r="D187" t="s">
        <v>59</v>
      </c>
      <c r="E187">
        <v>1</v>
      </c>
      <c r="F187">
        <v>0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0</v>
      </c>
      <c r="O187">
        <v>0</v>
      </c>
      <c r="P187">
        <v>0</v>
      </c>
      <c r="Q187">
        <v>2</v>
      </c>
      <c r="R187">
        <v>0</v>
      </c>
      <c r="S187">
        <v>0</v>
      </c>
      <c r="T187">
        <v>1</v>
      </c>
      <c r="U187">
        <v>0</v>
      </c>
      <c r="V187">
        <v>0</v>
      </c>
      <c r="W187">
        <v>1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 x14ac:dyDescent="0.25">
      <c r="A188" t="s">
        <v>44</v>
      </c>
      <c r="B188" t="s">
        <v>29</v>
      </c>
      <c r="C188">
        <v>32</v>
      </c>
      <c r="D188" t="s">
        <v>30</v>
      </c>
      <c r="E188">
        <v>10</v>
      </c>
      <c r="F188">
        <v>0</v>
      </c>
      <c r="G188">
        <v>8.6999999999999993</v>
      </c>
      <c r="H188">
        <v>1</v>
      </c>
      <c r="I188">
        <v>1</v>
      </c>
      <c r="J188">
        <v>2</v>
      </c>
      <c r="K188">
        <v>1</v>
      </c>
      <c r="L188">
        <v>0.1</v>
      </c>
      <c r="M188">
        <v>0.2</v>
      </c>
      <c r="N188">
        <v>0.9</v>
      </c>
      <c r="O188">
        <v>1.5</v>
      </c>
      <c r="P188">
        <v>0.7</v>
      </c>
      <c r="Q188">
        <v>1.6</v>
      </c>
      <c r="R188">
        <v>0.438</v>
      </c>
      <c r="S188">
        <v>0</v>
      </c>
      <c r="T188">
        <v>0</v>
      </c>
      <c r="U188">
        <v>0</v>
      </c>
      <c r="V188">
        <v>0.7</v>
      </c>
      <c r="W188">
        <v>1.6</v>
      </c>
      <c r="X188">
        <v>0.438</v>
      </c>
      <c r="Y188">
        <v>0.438</v>
      </c>
      <c r="Z188">
        <v>0.1</v>
      </c>
      <c r="AA188">
        <v>0.2</v>
      </c>
      <c r="AB188">
        <v>0.5</v>
      </c>
    </row>
    <row r="189" spans="1:28" x14ac:dyDescent="0.25">
      <c r="A189" t="s">
        <v>245</v>
      </c>
      <c r="B189" t="s">
        <v>13</v>
      </c>
      <c r="C189">
        <v>25</v>
      </c>
      <c r="D189" t="s">
        <v>107</v>
      </c>
      <c r="E189">
        <v>8</v>
      </c>
      <c r="F189">
        <v>0</v>
      </c>
      <c r="G189">
        <v>8.6</v>
      </c>
      <c r="H189">
        <v>0.5</v>
      </c>
      <c r="I189">
        <v>1.3</v>
      </c>
      <c r="J189">
        <v>1.8</v>
      </c>
      <c r="K189">
        <v>0.4</v>
      </c>
      <c r="L189">
        <v>0.4</v>
      </c>
      <c r="M189">
        <v>0.4</v>
      </c>
      <c r="N189">
        <v>0.9</v>
      </c>
      <c r="O189">
        <v>1.5</v>
      </c>
      <c r="P189">
        <v>0.6</v>
      </c>
      <c r="Q189">
        <v>1</v>
      </c>
      <c r="R189">
        <v>0.625</v>
      </c>
      <c r="S189">
        <v>0.1</v>
      </c>
      <c r="T189">
        <v>0.1</v>
      </c>
      <c r="U189">
        <v>1</v>
      </c>
      <c r="V189">
        <v>0.5</v>
      </c>
      <c r="W189">
        <v>0.9</v>
      </c>
      <c r="X189">
        <v>0.57099999999999995</v>
      </c>
      <c r="Y189">
        <v>0.68799999999999994</v>
      </c>
      <c r="Z189">
        <v>0.1</v>
      </c>
      <c r="AA189">
        <v>0.1</v>
      </c>
      <c r="AB189">
        <v>1</v>
      </c>
    </row>
    <row r="190" spans="1:28" x14ac:dyDescent="0.25">
      <c r="A190" t="s">
        <v>246</v>
      </c>
      <c r="B190" t="s">
        <v>13</v>
      </c>
      <c r="C190">
        <v>25</v>
      </c>
      <c r="D190" t="s">
        <v>66</v>
      </c>
      <c r="E190">
        <v>17</v>
      </c>
      <c r="F190">
        <v>0</v>
      </c>
      <c r="G190">
        <v>20.2</v>
      </c>
      <c r="H190">
        <v>0.6</v>
      </c>
      <c r="I190">
        <v>3.8</v>
      </c>
      <c r="J190">
        <v>4.4000000000000004</v>
      </c>
      <c r="K190">
        <v>1.7</v>
      </c>
      <c r="L190">
        <v>0.4</v>
      </c>
      <c r="M190">
        <v>0.8</v>
      </c>
      <c r="N190">
        <v>1.2</v>
      </c>
      <c r="O190">
        <v>10.9</v>
      </c>
      <c r="P190">
        <v>4.3</v>
      </c>
      <c r="Q190">
        <v>7.9</v>
      </c>
      <c r="R190">
        <v>0.54100000000000004</v>
      </c>
      <c r="S190">
        <v>1.2</v>
      </c>
      <c r="T190">
        <v>3.3</v>
      </c>
      <c r="U190">
        <v>0.35699999999999998</v>
      </c>
      <c r="V190">
        <v>3.1</v>
      </c>
      <c r="W190">
        <v>4.5999999999999996</v>
      </c>
      <c r="X190">
        <v>0.67100000000000004</v>
      </c>
      <c r="Y190">
        <v>0.61499999999999999</v>
      </c>
      <c r="Z190">
        <v>1.1000000000000001</v>
      </c>
      <c r="AA190">
        <v>1.5</v>
      </c>
      <c r="AB190">
        <v>0.76</v>
      </c>
    </row>
    <row r="191" spans="1:28" x14ac:dyDescent="0.25">
      <c r="A191" t="s">
        <v>247</v>
      </c>
      <c r="B191" t="s">
        <v>13</v>
      </c>
      <c r="C191">
        <v>28</v>
      </c>
      <c r="D191" t="s">
        <v>57</v>
      </c>
      <c r="E191">
        <v>16</v>
      </c>
      <c r="F191">
        <v>16</v>
      </c>
      <c r="G191">
        <v>32.6</v>
      </c>
      <c r="H191">
        <v>2.2000000000000002</v>
      </c>
      <c r="I191">
        <v>6.8</v>
      </c>
      <c r="J191">
        <v>9</v>
      </c>
      <c r="K191">
        <v>2.6</v>
      </c>
      <c r="L191">
        <v>0.8</v>
      </c>
      <c r="M191">
        <v>1.7</v>
      </c>
      <c r="N191">
        <v>3.4</v>
      </c>
      <c r="O191">
        <v>19.100000000000001</v>
      </c>
      <c r="P191">
        <v>6.8</v>
      </c>
      <c r="Q191">
        <v>14.5</v>
      </c>
      <c r="R191">
        <v>0.46600000000000003</v>
      </c>
      <c r="S191">
        <v>1.9</v>
      </c>
      <c r="T191">
        <v>5.2</v>
      </c>
      <c r="U191">
        <v>0.36099999999999999</v>
      </c>
      <c r="V191">
        <v>4.9000000000000004</v>
      </c>
      <c r="W191">
        <v>9.3000000000000007</v>
      </c>
      <c r="X191">
        <v>0.52300000000000002</v>
      </c>
      <c r="Y191">
        <v>0.53</v>
      </c>
      <c r="Z191">
        <v>3.7</v>
      </c>
      <c r="AA191">
        <v>4.3</v>
      </c>
      <c r="AB191">
        <v>0.85499999999999998</v>
      </c>
    </row>
    <row r="192" spans="1:28" x14ac:dyDescent="0.25">
      <c r="A192" t="s">
        <v>248</v>
      </c>
      <c r="B192" t="s">
        <v>13</v>
      </c>
      <c r="C192">
        <v>38</v>
      </c>
      <c r="D192" t="s">
        <v>95</v>
      </c>
      <c r="E192">
        <v>2</v>
      </c>
      <c r="F192">
        <v>1</v>
      </c>
      <c r="G192">
        <v>15.5</v>
      </c>
      <c r="H192">
        <v>1.5</v>
      </c>
      <c r="I192">
        <v>0</v>
      </c>
      <c r="J192">
        <v>1.5</v>
      </c>
      <c r="K192">
        <v>0</v>
      </c>
      <c r="L192">
        <v>0</v>
      </c>
      <c r="M192">
        <v>1.5</v>
      </c>
      <c r="N192">
        <v>3</v>
      </c>
      <c r="O192">
        <v>5.5</v>
      </c>
      <c r="P192">
        <v>2</v>
      </c>
      <c r="Q192">
        <v>3</v>
      </c>
      <c r="R192">
        <v>0.66700000000000004</v>
      </c>
      <c r="S192">
        <v>1.5</v>
      </c>
      <c r="T192">
        <v>2</v>
      </c>
      <c r="U192">
        <v>0.75</v>
      </c>
      <c r="V192">
        <v>0.5</v>
      </c>
      <c r="W192">
        <v>1</v>
      </c>
      <c r="X192">
        <v>0.5</v>
      </c>
      <c r="Y192">
        <v>0.91700000000000004</v>
      </c>
      <c r="Z192">
        <v>0</v>
      </c>
      <c r="AA192">
        <v>0</v>
      </c>
      <c r="AB192">
        <v>0</v>
      </c>
    </row>
    <row r="193" spans="1:28" x14ac:dyDescent="0.25">
      <c r="A193" t="s">
        <v>249</v>
      </c>
      <c r="B193" t="s">
        <v>29</v>
      </c>
      <c r="C193">
        <v>27</v>
      </c>
      <c r="D193" t="s">
        <v>66</v>
      </c>
      <c r="E193">
        <v>17</v>
      </c>
      <c r="F193">
        <v>17</v>
      </c>
      <c r="G193">
        <v>32.4</v>
      </c>
      <c r="H193">
        <v>1.5</v>
      </c>
      <c r="I193">
        <v>5.0999999999999996</v>
      </c>
      <c r="J193">
        <v>6.6</v>
      </c>
      <c r="K193">
        <v>2.1</v>
      </c>
      <c r="L193">
        <v>0.5</v>
      </c>
      <c r="M193">
        <v>1.9</v>
      </c>
      <c r="N193">
        <v>2.6</v>
      </c>
      <c r="O193">
        <v>17</v>
      </c>
      <c r="P193">
        <v>6.2</v>
      </c>
      <c r="Q193">
        <v>12.1</v>
      </c>
      <c r="R193">
        <v>0.51700000000000002</v>
      </c>
      <c r="S193">
        <v>2.2999999999999998</v>
      </c>
      <c r="T193">
        <v>5.0999999999999996</v>
      </c>
      <c r="U193">
        <v>0.45300000000000001</v>
      </c>
      <c r="V193">
        <v>3.9</v>
      </c>
      <c r="W193">
        <v>7</v>
      </c>
      <c r="X193">
        <v>0.56299999999999994</v>
      </c>
      <c r="Y193">
        <v>0.61199999999999999</v>
      </c>
      <c r="Z193">
        <v>2.2000000000000002</v>
      </c>
      <c r="AA193">
        <v>2.9</v>
      </c>
      <c r="AB193">
        <v>0.76</v>
      </c>
    </row>
    <row r="194" spans="1:28" x14ac:dyDescent="0.25">
      <c r="A194" t="s">
        <v>250</v>
      </c>
      <c r="B194" t="s">
        <v>13</v>
      </c>
      <c r="C194">
        <v>23</v>
      </c>
      <c r="D194" t="s">
        <v>64</v>
      </c>
      <c r="E194">
        <v>3</v>
      </c>
      <c r="F194">
        <v>0</v>
      </c>
      <c r="G194">
        <v>4.7</v>
      </c>
      <c r="H194">
        <v>0.3</v>
      </c>
      <c r="I194">
        <v>0.7</v>
      </c>
      <c r="J194">
        <v>1</v>
      </c>
      <c r="K194">
        <v>0.3</v>
      </c>
      <c r="L194">
        <v>0</v>
      </c>
      <c r="M194">
        <v>0.3</v>
      </c>
      <c r="N194">
        <v>0</v>
      </c>
      <c r="O194">
        <v>0.3</v>
      </c>
      <c r="P194">
        <v>0</v>
      </c>
      <c r="Q194">
        <v>1.3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0.3</v>
      </c>
      <c r="X194">
        <v>0</v>
      </c>
      <c r="Y194">
        <v>0</v>
      </c>
      <c r="Z194">
        <v>0.3</v>
      </c>
      <c r="AA194">
        <v>0.7</v>
      </c>
      <c r="AB194">
        <v>0.5</v>
      </c>
    </row>
    <row r="195" spans="1:28" x14ac:dyDescent="0.25">
      <c r="A195" t="s">
        <v>251</v>
      </c>
      <c r="B195" t="s">
        <v>29</v>
      </c>
      <c r="C195">
        <v>31</v>
      </c>
      <c r="D195" t="s">
        <v>83</v>
      </c>
      <c r="E195">
        <v>4</v>
      </c>
      <c r="F195">
        <v>4</v>
      </c>
      <c r="G195">
        <v>22.5</v>
      </c>
      <c r="H195">
        <v>4.5</v>
      </c>
      <c r="I195">
        <v>6.5</v>
      </c>
      <c r="J195">
        <v>11</v>
      </c>
      <c r="K195">
        <v>1.3</v>
      </c>
      <c r="L195">
        <v>0.5</v>
      </c>
      <c r="M195">
        <v>2.5</v>
      </c>
      <c r="N195">
        <v>2.2999999999999998</v>
      </c>
      <c r="O195">
        <v>14.5</v>
      </c>
      <c r="P195">
        <v>5.5</v>
      </c>
      <c r="Q195">
        <v>10.5</v>
      </c>
      <c r="R195">
        <v>0.52400000000000002</v>
      </c>
      <c r="S195">
        <v>0</v>
      </c>
      <c r="T195">
        <v>0.3</v>
      </c>
      <c r="U195">
        <v>0</v>
      </c>
      <c r="V195">
        <v>5.5</v>
      </c>
      <c r="W195">
        <v>10.3</v>
      </c>
      <c r="X195">
        <v>0.53700000000000003</v>
      </c>
      <c r="Y195">
        <v>0.52400000000000002</v>
      </c>
      <c r="Z195">
        <v>3.5</v>
      </c>
      <c r="AA195">
        <v>4.3</v>
      </c>
      <c r="AB195">
        <v>0.82399999999999995</v>
      </c>
    </row>
    <row r="196" spans="1:28" x14ac:dyDescent="0.25">
      <c r="A196" t="s">
        <v>55</v>
      </c>
      <c r="B196" t="s">
        <v>32</v>
      </c>
      <c r="C196">
        <v>27</v>
      </c>
      <c r="D196" t="s">
        <v>47</v>
      </c>
      <c r="E196">
        <v>5</v>
      </c>
      <c r="F196">
        <v>0</v>
      </c>
      <c r="G196">
        <v>13.8</v>
      </c>
      <c r="H196">
        <v>0.2</v>
      </c>
      <c r="I196">
        <v>1.4</v>
      </c>
      <c r="J196">
        <v>1.6</v>
      </c>
      <c r="K196">
        <v>0.6</v>
      </c>
      <c r="L196">
        <v>0.4</v>
      </c>
      <c r="M196">
        <v>0.6</v>
      </c>
      <c r="N196">
        <v>1.6</v>
      </c>
      <c r="O196">
        <v>1.4</v>
      </c>
      <c r="P196">
        <v>0.6</v>
      </c>
      <c r="Q196">
        <v>2.4</v>
      </c>
      <c r="R196">
        <v>0.25</v>
      </c>
      <c r="S196">
        <v>0.2</v>
      </c>
      <c r="T196">
        <v>1.4</v>
      </c>
      <c r="U196">
        <v>0.14299999999999999</v>
      </c>
      <c r="V196">
        <v>0.4</v>
      </c>
      <c r="W196">
        <v>1</v>
      </c>
      <c r="X196">
        <v>0.4</v>
      </c>
      <c r="Y196">
        <v>0.29199999999999998</v>
      </c>
      <c r="Z196">
        <v>0</v>
      </c>
      <c r="AA196">
        <v>0</v>
      </c>
      <c r="AB196">
        <v>0</v>
      </c>
    </row>
    <row r="197" spans="1:28" x14ac:dyDescent="0.25">
      <c r="A197" t="s">
        <v>45</v>
      </c>
      <c r="B197" t="s">
        <v>13</v>
      </c>
      <c r="C197">
        <v>27</v>
      </c>
      <c r="D197" t="s">
        <v>30</v>
      </c>
      <c r="E197">
        <v>3</v>
      </c>
      <c r="F197">
        <v>1</v>
      </c>
      <c r="G197">
        <v>21</v>
      </c>
      <c r="H197">
        <v>0.3</v>
      </c>
      <c r="I197">
        <v>1.7</v>
      </c>
      <c r="J197">
        <v>2</v>
      </c>
      <c r="K197">
        <v>1.7</v>
      </c>
      <c r="L197">
        <v>0.3</v>
      </c>
      <c r="M197">
        <v>0.7</v>
      </c>
      <c r="N197">
        <v>1.3</v>
      </c>
      <c r="O197">
        <v>3.7</v>
      </c>
      <c r="P197">
        <v>1.3</v>
      </c>
      <c r="Q197">
        <v>4.3</v>
      </c>
      <c r="R197">
        <v>0.308</v>
      </c>
      <c r="S197">
        <v>1</v>
      </c>
      <c r="T197">
        <v>3.3</v>
      </c>
      <c r="U197">
        <v>0.3</v>
      </c>
      <c r="V197">
        <v>0.3</v>
      </c>
      <c r="W197">
        <v>1</v>
      </c>
      <c r="X197">
        <v>0.33300000000000002</v>
      </c>
      <c r="Y197">
        <v>0.42299999999999999</v>
      </c>
      <c r="Z197">
        <v>0</v>
      </c>
      <c r="AA197">
        <v>0</v>
      </c>
      <c r="AB197">
        <v>0</v>
      </c>
    </row>
    <row r="198" spans="1:28" x14ac:dyDescent="0.25">
      <c r="A198" t="s">
        <v>252</v>
      </c>
      <c r="B198" t="s">
        <v>42</v>
      </c>
      <c r="C198">
        <v>22</v>
      </c>
      <c r="D198" t="s">
        <v>81</v>
      </c>
      <c r="E198">
        <v>7</v>
      </c>
      <c r="F198">
        <v>7</v>
      </c>
      <c r="G198">
        <v>37</v>
      </c>
      <c r="H198">
        <v>1.4</v>
      </c>
      <c r="I198">
        <v>5.4</v>
      </c>
      <c r="J198">
        <v>6.9</v>
      </c>
      <c r="K198">
        <v>4.4000000000000004</v>
      </c>
      <c r="L198">
        <v>0.7</v>
      </c>
      <c r="M198">
        <v>1.3</v>
      </c>
      <c r="N198">
        <v>2.9</v>
      </c>
      <c r="O198">
        <v>18.899999999999999</v>
      </c>
      <c r="P198">
        <v>6</v>
      </c>
      <c r="Q198">
        <v>14.7</v>
      </c>
      <c r="R198">
        <v>0.40799999999999997</v>
      </c>
      <c r="S198">
        <v>1.3</v>
      </c>
      <c r="T198">
        <v>4.9000000000000004</v>
      </c>
      <c r="U198">
        <v>0.26500000000000001</v>
      </c>
      <c r="V198">
        <v>4.7</v>
      </c>
      <c r="W198">
        <v>9.9</v>
      </c>
      <c r="X198">
        <v>0.47799999999999998</v>
      </c>
      <c r="Y198">
        <v>0.45100000000000001</v>
      </c>
      <c r="Z198">
        <v>5.6</v>
      </c>
      <c r="AA198">
        <v>6.3</v>
      </c>
      <c r="AB198">
        <v>0.88600000000000001</v>
      </c>
    </row>
    <row r="199" spans="1:28" x14ac:dyDescent="0.25">
      <c r="A199" t="s">
        <v>253</v>
      </c>
      <c r="B199" t="s">
        <v>29</v>
      </c>
      <c r="C199">
        <v>26</v>
      </c>
      <c r="D199" t="s">
        <v>81</v>
      </c>
      <c r="E199">
        <v>7</v>
      </c>
      <c r="F199">
        <v>0</v>
      </c>
      <c r="G199">
        <v>15</v>
      </c>
      <c r="H199">
        <v>1.6</v>
      </c>
      <c r="I199">
        <v>2.9</v>
      </c>
      <c r="J199">
        <v>4.4000000000000004</v>
      </c>
      <c r="K199">
        <v>0.3</v>
      </c>
      <c r="L199">
        <v>0.9</v>
      </c>
      <c r="M199">
        <v>1.1000000000000001</v>
      </c>
      <c r="N199">
        <v>3</v>
      </c>
      <c r="O199">
        <v>6.3</v>
      </c>
      <c r="P199">
        <v>2.2999999999999998</v>
      </c>
      <c r="Q199">
        <v>5.0999999999999996</v>
      </c>
      <c r="R199">
        <v>0.44400000000000001</v>
      </c>
      <c r="S199">
        <v>0.3</v>
      </c>
      <c r="T199">
        <v>1.3</v>
      </c>
      <c r="U199">
        <v>0.222</v>
      </c>
      <c r="V199">
        <v>2</v>
      </c>
      <c r="W199">
        <v>3.9</v>
      </c>
      <c r="X199">
        <v>0.51900000000000002</v>
      </c>
      <c r="Y199">
        <v>0.47199999999999998</v>
      </c>
      <c r="Z199">
        <v>1.4</v>
      </c>
      <c r="AA199">
        <v>2.4</v>
      </c>
      <c r="AB199">
        <v>0.58799999999999997</v>
      </c>
    </row>
    <row r="200" spans="1:28" x14ac:dyDescent="0.25">
      <c r="A200" t="s">
        <v>254</v>
      </c>
      <c r="B200" t="s">
        <v>13</v>
      </c>
      <c r="C200">
        <v>20</v>
      </c>
      <c r="D200" t="s">
        <v>66</v>
      </c>
      <c r="E200">
        <v>9</v>
      </c>
      <c r="F200">
        <v>0</v>
      </c>
      <c r="G200">
        <v>3.4</v>
      </c>
      <c r="H200">
        <v>0.1</v>
      </c>
      <c r="I200">
        <v>0.3</v>
      </c>
      <c r="J200">
        <v>0.4</v>
      </c>
      <c r="K200">
        <v>0.4</v>
      </c>
      <c r="L200">
        <v>0.2</v>
      </c>
      <c r="M200">
        <v>0.7</v>
      </c>
      <c r="N200">
        <v>0.2</v>
      </c>
      <c r="O200">
        <v>0.9</v>
      </c>
      <c r="P200">
        <v>0.3</v>
      </c>
      <c r="Q200">
        <v>1.1000000000000001</v>
      </c>
      <c r="R200">
        <v>0.3</v>
      </c>
      <c r="S200">
        <v>0</v>
      </c>
      <c r="T200">
        <v>0.3</v>
      </c>
      <c r="U200">
        <v>0</v>
      </c>
      <c r="V200">
        <v>0.3</v>
      </c>
      <c r="W200">
        <v>0.8</v>
      </c>
      <c r="X200">
        <v>0.42899999999999999</v>
      </c>
      <c r="Y200">
        <v>0.3</v>
      </c>
      <c r="Z200">
        <v>0.2</v>
      </c>
      <c r="AA200">
        <v>0.3</v>
      </c>
      <c r="AB200">
        <v>0.66700000000000004</v>
      </c>
    </row>
    <row r="201" spans="1:28" x14ac:dyDescent="0.25">
      <c r="A201" t="s">
        <v>104</v>
      </c>
      <c r="B201" t="s">
        <v>35</v>
      </c>
      <c r="C201">
        <v>20</v>
      </c>
      <c r="D201" t="s">
        <v>74</v>
      </c>
      <c r="E201">
        <v>10</v>
      </c>
      <c r="F201">
        <v>0</v>
      </c>
      <c r="G201">
        <v>19.8</v>
      </c>
      <c r="H201">
        <v>0.7</v>
      </c>
      <c r="I201">
        <v>0.6</v>
      </c>
      <c r="J201">
        <v>1.3</v>
      </c>
      <c r="K201">
        <v>1</v>
      </c>
      <c r="L201">
        <v>0.9</v>
      </c>
      <c r="M201">
        <v>0.4</v>
      </c>
      <c r="N201">
        <v>1.4</v>
      </c>
      <c r="O201">
        <v>4.2</v>
      </c>
      <c r="P201">
        <v>1.6</v>
      </c>
      <c r="Q201">
        <v>4.0999999999999996</v>
      </c>
      <c r="R201">
        <v>0.39</v>
      </c>
      <c r="S201">
        <v>0.9</v>
      </c>
      <c r="T201">
        <v>2.8</v>
      </c>
      <c r="U201">
        <v>0.32100000000000001</v>
      </c>
      <c r="V201">
        <v>0.7</v>
      </c>
      <c r="W201">
        <v>1.3</v>
      </c>
      <c r="X201">
        <v>0.53800000000000003</v>
      </c>
      <c r="Y201">
        <v>0.5</v>
      </c>
      <c r="Z201">
        <v>0.1</v>
      </c>
      <c r="AA201">
        <v>0.2</v>
      </c>
      <c r="AB201">
        <v>0.5</v>
      </c>
    </row>
    <row r="202" spans="1:28" x14ac:dyDescent="0.25">
      <c r="A202" t="s">
        <v>255</v>
      </c>
      <c r="B202" t="s">
        <v>42</v>
      </c>
      <c r="C202">
        <v>19</v>
      </c>
      <c r="D202" t="s">
        <v>107</v>
      </c>
      <c r="E202">
        <v>3</v>
      </c>
      <c r="F202">
        <v>0</v>
      </c>
      <c r="G202">
        <v>3.7</v>
      </c>
      <c r="H202">
        <v>0</v>
      </c>
      <c r="I202">
        <v>0.7</v>
      </c>
      <c r="J202">
        <v>0.7</v>
      </c>
      <c r="K202">
        <v>0</v>
      </c>
      <c r="L202">
        <v>0</v>
      </c>
      <c r="M202">
        <v>0</v>
      </c>
      <c r="N202">
        <v>0</v>
      </c>
      <c r="O202">
        <v>0.7</v>
      </c>
      <c r="P202">
        <v>0.3</v>
      </c>
      <c r="Q202">
        <v>1</v>
      </c>
      <c r="R202">
        <v>0.33300000000000002</v>
      </c>
      <c r="S202">
        <v>0</v>
      </c>
      <c r="T202">
        <v>0.3</v>
      </c>
      <c r="U202">
        <v>0</v>
      </c>
      <c r="V202">
        <v>0.3</v>
      </c>
      <c r="W202">
        <v>0.7</v>
      </c>
      <c r="X202">
        <v>0.5</v>
      </c>
      <c r="Y202">
        <v>0.33300000000000002</v>
      </c>
      <c r="Z202">
        <v>0</v>
      </c>
      <c r="AA202">
        <v>0</v>
      </c>
      <c r="AB202">
        <v>0</v>
      </c>
    </row>
    <row r="203" spans="1:28" x14ac:dyDescent="0.25">
      <c r="A203" t="s">
        <v>256</v>
      </c>
      <c r="B203" t="s">
        <v>42</v>
      </c>
      <c r="C203">
        <v>30</v>
      </c>
      <c r="D203" t="s">
        <v>57</v>
      </c>
      <c r="E203">
        <v>3</v>
      </c>
      <c r="F203">
        <v>0</v>
      </c>
      <c r="G203">
        <v>3.7</v>
      </c>
      <c r="H203">
        <v>0.7</v>
      </c>
      <c r="I203">
        <v>0.3</v>
      </c>
      <c r="J203">
        <v>1</v>
      </c>
      <c r="K203">
        <v>0.3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0.7</v>
      </c>
      <c r="R203">
        <v>0</v>
      </c>
      <c r="S203">
        <v>0</v>
      </c>
      <c r="T203">
        <v>0.3</v>
      </c>
      <c r="U203">
        <v>0</v>
      </c>
      <c r="V203">
        <v>0</v>
      </c>
      <c r="W203">
        <v>0.3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 x14ac:dyDescent="0.25">
      <c r="A204" t="s">
        <v>257</v>
      </c>
      <c r="B204" t="s">
        <v>13</v>
      </c>
      <c r="C204">
        <v>25</v>
      </c>
      <c r="D204" t="s">
        <v>78</v>
      </c>
      <c r="E204">
        <v>22</v>
      </c>
      <c r="F204">
        <v>22</v>
      </c>
      <c r="G204">
        <v>35.700000000000003</v>
      </c>
      <c r="H204">
        <v>1.5</v>
      </c>
      <c r="I204">
        <v>5.0999999999999996</v>
      </c>
      <c r="J204">
        <v>6.6</v>
      </c>
      <c r="K204">
        <v>1.4</v>
      </c>
      <c r="L204">
        <v>0.7</v>
      </c>
      <c r="M204">
        <v>1.5</v>
      </c>
      <c r="N204">
        <v>3</v>
      </c>
      <c r="O204">
        <v>13</v>
      </c>
      <c r="P204">
        <v>4.5</v>
      </c>
      <c r="Q204">
        <v>10.6</v>
      </c>
      <c r="R204">
        <v>0.42699999999999999</v>
      </c>
      <c r="S204">
        <v>2.1</v>
      </c>
      <c r="T204">
        <v>6.1</v>
      </c>
      <c r="U204">
        <v>0.34799999999999998</v>
      </c>
      <c r="V204">
        <v>2.4</v>
      </c>
      <c r="W204">
        <v>4.5</v>
      </c>
      <c r="X204">
        <v>0.53500000000000003</v>
      </c>
      <c r="Y204">
        <v>0.52800000000000002</v>
      </c>
      <c r="Z204">
        <v>1.8</v>
      </c>
      <c r="AA204">
        <v>2.5</v>
      </c>
      <c r="AB204">
        <v>0.70899999999999996</v>
      </c>
    </row>
    <row r="205" spans="1:28" x14ac:dyDescent="0.25">
      <c r="A205" t="s">
        <v>105</v>
      </c>
      <c r="B205" t="s">
        <v>35</v>
      </c>
      <c r="C205">
        <v>26</v>
      </c>
      <c r="D205" t="s">
        <v>74</v>
      </c>
      <c r="E205">
        <v>3</v>
      </c>
      <c r="F205">
        <v>0</v>
      </c>
      <c r="G205">
        <v>3</v>
      </c>
      <c r="H205">
        <v>0</v>
      </c>
      <c r="I205">
        <v>0.3</v>
      </c>
      <c r="J205">
        <v>0.3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0.3</v>
      </c>
      <c r="R205">
        <v>0</v>
      </c>
      <c r="S205">
        <v>0</v>
      </c>
      <c r="T205">
        <v>0.3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 x14ac:dyDescent="0.25">
      <c r="A206" t="s">
        <v>258</v>
      </c>
      <c r="B206" t="s">
        <v>42</v>
      </c>
      <c r="C206">
        <v>21</v>
      </c>
      <c r="D206" t="s">
        <v>64</v>
      </c>
      <c r="E206">
        <v>10</v>
      </c>
      <c r="F206">
        <v>0</v>
      </c>
      <c r="G206">
        <v>9</v>
      </c>
      <c r="H206">
        <v>0.2</v>
      </c>
      <c r="I206">
        <v>1.3</v>
      </c>
      <c r="J206">
        <v>1.5</v>
      </c>
      <c r="K206">
        <v>0.4</v>
      </c>
      <c r="L206">
        <v>0</v>
      </c>
      <c r="M206">
        <v>0.3</v>
      </c>
      <c r="N206">
        <v>0.9</v>
      </c>
      <c r="O206">
        <v>1.8</v>
      </c>
      <c r="P206">
        <v>0.6</v>
      </c>
      <c r="Q206">
        <v>2.4</v>
      </c>
      <c r="R206">
        <v>0.25</v>
      </c>
      <c r="S206">
        <v>0.3</v>
      </c>
      <c r="T206">
        <v>1.2</v>
      </c>
      <c r="U206">
        <v>0.25</v>
      </c>
      <c r="V206">
        <v>0.3</v>
      </c>
      <c r="W206">
        <v>1.2</v>
      </c>
      <c r="X206">
        <v>0.25</v>
      </c>
      <c r="Y206">
        <v>0.313</v>
      </c>
      <c r="Z206">
        <v>0.3</v>
      </c>
      <c r="AA206">
        <v>0.6</v>
      </c>
      <c r="AB206">
        <v>0.5</v>
      </c>
    </row>
    <row r="207" spans="1:28" x14ac:dyDescent="0.25">
      <c r="A207" t="s">
        <v>259</v>
      </c>
      <c r="B207" t="s">
        <v>32</v>
      </c>
      <c r="C207">
        <v>35</v>
      </c>
      <c r="D207" t="s">
        <v>95</v>
      </c>
      <c r="E207">
        <v>6</v>
      </c>
      <c r="F207">
        <v>0</v>
      </c>
      <c r="G207">
        <v>19</v>
      </c>
      <c r="H207">
        <v>1</v>
      </c>
      <c r="I207">
        <v>3.2</v>
      </c>
      <c r="J207">
        <v>4.2</v>
      </c>
      <c r="K207">
        <v>1.7</v>
      </c>
      <c r="L207">
        <v>1.2</v>
      </c>
      <c r="M207">
        <v>1.7</v>
      </c>
      <c r="N207">
        <v>1.8</v>
      </c>
      <c r="O207">
        <v>6.3</v>
      </c>
      <c r="P207">
        <v>2.2000000000000002</v>
      </c>
      <c r="Q207">
        <v>8.3000000000000007</v>
      </c>
      <c r="R207">
        <v>0.26</v>
      </c>
      <c r="S207">
        <v>0.7</v>
      </c>
      <c r="T207">
        <v>2.8</v>
      </c>
      <c r="U207">
        <v>0.23499999999999999</v>
      </c>
      <c r="V207">
        <v>1.5</v>
      </c>
      <c r="W207">
        <v>5.5</v>
      </c>
      <c r="X207">
        <v>0.27300000000000002</v>
      </c>
      <c r="Y207">
        <v>0.3</v>
      </c>
      <c r="Z207">
        <v>1.3</v>
      </c>
      <c r="AA207">
        <v>2.2000000000000002</v>
      </c>
      <c r="AB207">
        <v>0.61499999999999999</v>
      </c>
    </row>
    <row r="208" spans="1:28" x14ac:dyDescent="0.25">
      <c r="A208" t="s">
        <v>106</v>
      </c>
      <c r="B208" t="s">
        <v>35</v>
      </c>
      <c r="C208">
        <v>29</v>
      </c>
      <c r="D208" t="s">
        <v>107</v>
      </c>
      <c r="E208">
        <v>19</v>
      </c>
      <c r="F208">
        <v>19</v>
      </c>
      <c r="G208">
        <v>35.6</v>
      </c>
      <c r="H208">
        <v>1</v>
      </c>
      <c r="I208">
        <v>3.3</v>
      </c>
      <c r="J208">
        <v>4.3</v>
      </c>
      <c r="K208">
        <v>4.0999999999999996</v>
      </c>
      <c r="L208">
        <v>0.9</v>
      </c>
      <c r="M208">
        <v>0.8</v>
      </c>
      <c r="N208">
        <v>2.2999999999999998</v>
      </c>
      <c r="O208">
        <v>16.7</v>
      </c>
      <c r="P208">
        <v>5.7</v>
      </c>
      <c r="Q208">
        <v>12.7</v>
      </c>
      <c r="R208">
        <v>0.45200000000000001</v>
      </c>
      <c r="S208">
        <v>3.4</v>
      </c>
      <c r="T208">
        <v>8.5</v>
      </c>
      <c r="U208">
        <v>0.40400000000000003</v>
      </c>
      <c r="V208">
        <v>2.2999999999999998</v>
      </c>
      <c r="W208">
        <v>4.2</v>
      </c>
      <c r="X208">
        <v>0.55000000000000004</v>
      </c>
      <c r="Y208">
        <v>0.58699999999999997</v>
      </c>
      <c r="Z208">
        <v>1.8</v>
      </c>
      <c r="AA208">
        <v>2</v>
      </c>
      <c r="AB208">
        <v>0.92100000000000004</v>
      </c>
    </row>
    <row r="209" spans="1:28" x14ac:dyDescent="0.25">
      <c r="A209" t="s">
        <v>108</v>
      </c>
      <c r="B209" t="s">
        <v>35</v>
      </c>
      <c r="C209">
        <v>25</v>
      </c>
      <c r="D209" t="s">
        <v>74</v>
      </c>
      <c r="E209">
        <v>10</v>
      </c>
      <c r="F209">
        <v>0</v>
      </c>
      <c r="G209">
        <v>15.7</v>
      </c>
      <c r="H209">
        <v>0.9</v>
      </c>
      <c r="I209">
        <v>2.2999999999999998</v>
      </c>
      <c r="J209">
        <v>3.2</v>
      </c>
      <c r="K209">
        <v>1</v>
      </c>
      <c r="L209">
        <v>0.6</v>
      </c>
      <c r="M209">
        <v>0.9</v>
      </c>
      <c r="N209">
        <v>0.8</v>
      </c>
      <c r="O209">
        <v>6.2</v>
      </c>
      <c r="P209">
        <v>2.2999999999999998</v>
      </c>
      <c r="Q209">
        <v>4.7</v>
      </c>
      <c r="R209">
        <v>0.48899999999999999</v>
      </c>
      <c r="S209">
        <v>0.6</v>
      </c>
      <c r="T209">
        <v>2</v>
      </c>
      <c r="U209">
        <v>0.3</v>
      </c>
      <c r="V209">
        <v>1.7</v>
      </c>
      <c r="W209">
        <v>2.7</v>
      </c>
      <c r="X209">
        <v>0.63</v>
      </c>
      <c r="Y209">
        <v>0.55300000000000005</v>
      </c>
      <c r="Z209">
        <v>1</v>
      </c>
      <c r="AA209">
        <v>1.1000000000000001</v>
      </c>
      <c r="AB209">
        <v>0.90900000000000003</v>
      </c>
    </row>
    <row r="210" spans="1:28" x14ac:dyDescent="0.25">
      <c r="A210" t="s">
        <v>260</v>
      </c>
      <c r="B210" t="s">
        <v>13</v>
      </c>
      <c r="C210">
        <v>22</v>
      </c>
      <c r="D210" t="s">
        <v>74</v>
      </c>
      <c r="E210">
        <v>10</v>
      </c>
      <c r="F210">
        <v>10</v>
      </c>
      <c r="G210">
        <v>37.700000000000003</v>
      </c>
      <c r="H210">
        <v>1.3</v>
      </c>
      <c r="I210">
        <v>5.5</v>
      </c>
      <c r="J210">
        <v>6.8</v>
      </c>
      <c r="K210">
        <v>5.4</v>
      </c>
      <c r="L210">
        <v>1.7</v>
      </c>
      <c r="M210">
        <v>1.9</v>
      </c>
      <c r="N210">
        <v>2.1</v>
      </c>
      <c r="O210">
        <v>18.7</v>
      </c>
      <c r="P210">
        <v>7.5</v>
      </c>
      <c r="Q210">
        <v>16</v>
      </c>
      <c r="R210">
        <v>0.46899999999999997</v>
      </c>
      <c r="S210">
        <v>1.5</v>
      </c>
      <c r="T210">
        <v>3.9</v>
      </c>
      <c r="U210">
        <v>0.38500000000000001</v>
      </c>
      <c r="V210">
        <v>6</v>
      </c>
      <c r="W210">
        <v>12.1</v>
      </c>
      <c r="X210">
        <v>0.496</v>
      </c>
      <c r="Y210">
        <v>0.51600000000000001</v>
      </c>
      <c r="Z210">
        <v>2.2000000000000002</v>
      </c>
      <c r="AA210">
        <v>2.7</v>
      </c>
      <c r="AB210">
        <v>0.81499999999999995</v>
      </c>
    </row>
    <row r="211" spans="1:28" x14ac:dyDescent="0.25">
      <c r="A211" t="s">
        <v>261</v>
      </c>
      <c r="B211" t="s">
        <v>29</v>
      </c>
      <c r="C211">
        <v>21</v>
      </c>
      <c r="D211" t="s">
        <v>74</v>
      </c>
      <c r="E211">
        <v>10</v>
      </c>
      <c r="F211">
        <v>0</v>
      </c>
      <c r="G211">
        <v>12.7</v>
      </c>
      <c r="H211">
        <v>0.4</v>
      </c>
      <c r="I211">
        <v>2.8</v>
      </c>
      <c r="J211">
        <v>3.2</v>
      </c>
      <c r="K211">
        <v>1.5</v>
      </c>
      <c r="L211">
        <v>0.4</v>
      </c>
      <c r="M211">
        <v>0.3</v>
      </c>
      <c r="N211">
        <v>1.1000000000000001</v>
      </c>
      <c r="O211">
        <v>4.4000000000000004</v>
      </c>
      <c r="P211">
        <v>1.6</v>
      </c>
      <c r="Q211">
        <v>3.3</v>
      </c>
      <c r="R211">
        <v>0.48499999999999999</v>
      </c>
      <c r="S211">
        <v>0.9</v>
      </c>
      <c r="T211">
        <v>2.2000000000000002</v>
      </c>
      <c r="U211">
        <v>0.40899999999999997</v>
      </c>
      <c r="V211">
        <v>0.7</v>
      </c>
      <c r="W211">
        <v>1.1000000000000001</v>
      </c>
      <c r="X211">
        <v>0.63600000000000001</v>
      </c>
      <c r="Y211">
        <v>0.621</v>
      </c>
      <c r="Z211">
        <v>0.3</v>
      </c>
      <c r="AA211">
        <v>0.4</v>
      </c>
      <c r="AB211">
        <v>0.75</v>
      </c>
    </row>
    <row r="212" spans="1:28" x14ac:dyDescent="0.25">
      <c r="A212" t="s">
        <v>262</v>
      </c>
      <c r="B212" t="s">
        <v>13</v>
      </c>
      <c r="C212">
        <v>29</v>
      </c>
      <c r="D212" t="s">
        <v>74</v>
      </c>
      <c r="E212">
        <v>7</v>
      </c>
      <c r="F212">
        <v>0</v>
      </c>
      <c r="G212">
        <v>4.5999999999999996</v>
      </c>
      <c r="H212">
        <v>0.1</v>
      </c>
      <c r="I212">
        <v>1</v>
      </c>
      <c r="J212">
        <v>1.1000000000000001</v>
      </c>
      <c r="K212">
        <v>0.4</v>
      </c>
      <c r="L212">
        <v>0.1</v>
      </c>
      <c r="M212">
        <v>0</v>
      </c>
      <c r="N212">
        <v>0.4</v>
      </c>
      <c r="O212">
        <v>0.6</v>
      </c>
      <c r="P212">
        <v>0.3</v>
      </c>
      <c r="Q212">
        <v>1.1000000000000001</v>
      </c>
      <c r="R212">
        <v>0.25</v>
      </c>
      <c r="S212">
        <v>0</v>
      </c>
      <c r="T212">
        <v>0.7</v>
      </c>
      <c r="U212">
        <v>0</v>
      </c>
      <c r="V212">
        <v>0.3</v>
      </c>
      <c r="W212">
        <v>0.4</v>
      </c>
      <c r="X212">
        <v>0.66700000000000004</v>
      </c>
      <c r="Y212">
        <v>0.25</v>
      </c>
      <c r="Z212">
        <v>0</v>
      </c>
      <c r="AA212">
        <v>0</v>
      </c>
      <c r="AB212">
        <v>0</v>
      </c>
    </row>
    <row r="213" spans="1:28" x14ac:dyDescent="0.25">
      <c r="A213" t="s">
        <v>263</v>
      </c>
      <c r="B213" t="s">
        <v>32</v>
      </c>
      <c r="C213">
        <v>31</v>
      </c>
      <c r="D213" t="s">
        <v>85</v>
      </c>
      <c r="E213">
        <v>4</v>
      </c>
      <c r="F213">
        <v>1</v>
      </c>
      <c r="G213">
        <v>26.8</v>
      </c>
      <c r="H213">
        <v>0.5</v>
      </c>
      <c r="I213">
        <v>2.5</v>
      </c>
      <c r="J213">
        <v>3</v>
      </c>
      <c r="K213">
        <v>1.8</v>
      </c>
      <c r="L213">
        <v>1</v>
      </c>
      <c r="M213">
        <v>0</v>
      </c>
      <c r="N213">
        <v>1.3</v>
      </c>
      <c r="O213">
        <v>8</v>
      </c>
      <c r="P213">
        <v>3</v>
      </c>
      <c r="Q213">
        <v>5</v>
      </c>
      <c r="R213">
        <v>0.6</v>
      </c>
      <c r="S213">
        <v>1.5</v>
      </c>
      <c r="T213">
        <v>2.5</v>
      </c>
      <c r="U213">
        <v>0.6</v>
      </c>
      <c r="V213">
        <v>1.5</v>
      </c>
      <c r="W213">
        <v>2.5</v>
      </c>
      <c r="X213">
        <v>0.6</v>
      </c>
      <c r="Y213">
        <v>0.75</v>
      </c>
      <c r="Z213">
        <v>0.5</v>
      </c>
      <c r="AA213">
        <v>0.5</v>
      </c>
      <c r="AB213">
        <v>1</v>
      </c>
    </row>
    <row r="214" spans="1:28" x14ac:dyDescent="0.25">
      <c r="A214" t="s">
        <v>264</v>
      </c>
      <c r="B214" t="s">
        <v>13</v>
      </c>
      <c r="C214">
        <v>35</v>
      </c>
      <c r="D214" t="s">
        <v>59</v>
      </c>
      <c r="E214">
        <v>1</v>
      </c>
      <c r="F214">
        <v>0</v>
      </c>
      <c r="G214">
        <v>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 x14ac:dyDescent="0.25">
      <c r="A215" t="s">
        <v>265</v>
      </c>
      <c r="B215" t="s">
        <v>29</v>
      </c>
      <c r="C215">
        <v>26</v>
      </c>
      <c r="D215" t="s">
        <v>95</v>
      </c>
      <c r="E215">
        <v>6</v>
      </c>
      <c r="F215">
        <v>6</v>
      </c>
      <c r="G215">
        <v>32</v>
      </c>
      <c r="H215">
        <v>3</v>
      </c>
      <c r="I215">
        <v>6.3</v>
      </c>
      <c r="J215">
        <v>9.3000000000000007</v>
      </c>
      <c r="K215">
        <v>1</v>
      </c>
      <c r="L215">
        <v>0.8</v>
      </c>
      <c r="M215">
        <v>1.3</v>
      </c>
      <c r="N215">
        <v>3.5</v>
      </c>
      <c r="O215">
        <v>16.2</v>
      </c>
      <c r="P215">
        <v>7</v>
      </c>
      <c r="Q215">
        <v>11.7</v>
      </c>
      <c r="R215">
        <v>0.6</v>
      </c>
      <c r="S215">
        <v>0</v>
      </c>
      <c r="T215">
        <v>0</v>
      </c>
      <c r="U215">
        <v>0</v>
      </c>
      <c r="V215">
        <v>7</v>
      </c>
      <c r="W215">
        <v>11.7</v>
      </c>
      <c r="X215">
        <v>0.6</v>
      </c>
      <c r="Y215">
        <v>0.6</v>
      </c>
      <c r="Z215">
        <v>2.2000000000000002</v>
      </c>
      <c r="AA215">
        <v>3.3</v>
      </c>
      <c r="AB215">
        <v>0.65</v>
      </c>
    </row>
    <row r="217" spans="1:28" x14ac:dyDescent="0.25">
      <c r="A217" s="1" t="s">
        <v>109</v>
      </c>
      <c r="C217">
        <f>AVERAGE($C$2:$C$215)</f>
        <v>26.88785046728972</v>
      </c>
      <c r="E217">
        <f>AVERAGE($E$2:$E$215)</f>
        <v>7.8738317757009346</v>
      </c>
      <c r="F217">
        <f>AVERAGE($F$2:$F$215)</f>
        <v>3.8317757009345796</v>
      </c>
      <c r="G217">
        <f>AVERAGE($G$2:$G$215)</f>
        <v>19.960280373831772</v>
      </c>
      <c r="H217">
        <f>AVERAGE($H$2:$H$215)</f>
        <v>0.82943925233644789</v>
      </c>
      <c r="I217">
        <f>AVERAGE($I$2:$I$215)</f>
        <v>2.6425233644859807</v>
      </c>
      <c r="J217">
        <f>AVERAGE($J$2:$J$215)</f>
        <v>3.4672897196261667</v>
      </c>
      <c r="K217">
        <f>AVERAGE($K$2:$K$215)</f>
        <v>1.807943925233646</v>
      </c>
      <c r="L217">
        <f>AVERAGE($L$2:$L$215)</f>
        <v>0.53831775700934592</v>
      </c>
      <c r="M217">
        <f>AVERAGE($M$2:$M$215)</f>
        <v>0.96588785046728998</v>
      </c>
      <c r="N217">
        <f>AVERAGE($N$2:$N$215)</f>
        <v>1.5981308411214961</v>
      </c>
      <c r="O217">
        <f>AVERAGE($O$2:$O$215)</f>
        <v>8.4453271028037378</v>
      </c>
      <c r="P217">
        <f>AVERAGE($P$2:$P$215)</f>
        <v>3.1014018691588792</v>
      </c>
      <c r="Q217">
        <f>AVERAGE($Q$2:$Q$215)</f>
        <v>6.8439252336448542</v>
      </c>
      <c r="R217">
        <f>AVERAGE($R$2:$R$215)</f>
        <v>0.40747663551401869</v>
      </c>
      <c r="S217">
        <f>AVERAGE($S$2:$S$215)</f>
        <v>0.92056074766355178</v>
      </c>
      <c r="T217">
        <f>AVERAGE($T$2:$T$215)</f>
        <v>2.7009345794392514</v>
      </c>
      <c r="U217">
        <f>AVERAGE($U$2:$U$215)</f>
        <v>0.2601308411214952</v>
      </c>
      <c r="V217">
        <f>AVERAGE($V$2:$V$215)</f>
        <v>2.1799065420560741</v>
      </c>
      <c r="W217">
        <f>AVERAGE($W$2:$W$215)</f>
        <v>4.1485981308411191</v>
      </c>
      <c r="X217">
        <f>AVERAGE($X$2:$X$215)</f>
        <v>0.46036915887850477</v>
      </c>
      <c r="Y217">
        <f>AVERAGE($Y$2:$Y$215)</f>
        <v>0.47074299065420544</v>
      </c>
      <c r="Z217">
        <f>AVERAGE($Z$2:$Z$215)</f>
        <v>1.3271028037383183</v>
      </c>
      <c r="AA217">
        <f>AVERAGE($AA$2:$AA$215)</f>
        <v>1.6953271028037391</v>
      </c>
      <c r="AB217">
        <f>AVERAGE($AB$2:$AB$215)</f>
        <v>0.58168224299065441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CEC2-0095-401F-AE8B-7EACCEFD3208}">
  <sheetPr codeName="Sheet6"/>
  <dimension ref="A1:V62"/>
  <sheetViews>
    <sheetView zoomScale="85" zoomScaleNormal="85" workbookViewId="0">
      <selection activeCell="P15" sqref="P15"/>
    </sheetView>
  </sheetViews>
  <sheetFormatPr defaultRowHeight="15" x14ac:dyDescent="0.25"/>
  <cols>
    <col min="2" max="2" width="12.5703125" bestFit="1" customWidth="1"/>
    <col min="3" max="3" width="10.85546875" bestFit="1" customWidth="1"/>
    <col min="13" max="13" width="12.5703125" bestFit="1" customWidth="1"/>
    <col min="14" max="14" width="10.85546875" bestFit="1" customWidth="1"/>
  </cols>
  <sheetData>
    <row r="1" spans="1:22" ht="20.25" thickBot="1" x14ac:dyDescent="0.3">
      <c r="A1" s="10" t="s">
        <v>304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22" ht="20.25" customHeight="1" thickTop="1" x14ac:dyDescent="0.25">
      <c r="A2" s="11" t="s">
        <v>305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22" x14ac:dyDescent="0.25">
      <c r="A3" s="9" t="s">
        <v>321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x14ac:dyDescent="0.25">
      <c r="A4" s="9" t="s">
        <v>319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6" spans="1:22" x14ac:dyDescent="0.25">
      <c r="A6" s="9" t="s">
        <v>306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</row>
    <row r="7" spans="1:22" x14ac:dyDescent="0.25">
      <c r="A7" s="9" t="s">
        <v>309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x14ac:dyDescent="0.25">
      <c r="A8" s="9" t="s">
        <v>320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10" spans="1:22" x14ac:dyDescent="0.25">
      <c r="A10" s="7" t="s">
        <v>308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 t="s">
        <v>307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5">
      <c r="A12" s="7" t="s">
        <v>323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5">
      <c r="A13" s="7" t="s">
        <v>324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5">
      <c r="A14" s="7" t="s">
        <v>322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7" spans="1:14" x14ac:dyDescent="0.25">
      <c r="A17" t="s">
        <v>310</v>
      </c>
      <c r="N17" t="s">
        <v>317</v>
      </c>
    </row>
    <row r="20" spans="1:14" x14ac:dyDescent="0.25">
      <c r="B20" s="8" t="s">
        <v>2</v>
      </c>
      <c r="C20" s="8"/>
      <c r="M20" s="8" t="s">
        <v>283</v>
      </c>
      <c r="N20" s="8"/>
    </row>
    <row r="21" spans="1:14" x14ac:dyDescent="0.25">
      <c r="B21" s="2" t="s">
        <v>110</v>
      </c>
      <c r="C21" s="2" t="s">
        <v>111</v>
      </c>
      <c r="M21" s="2" t="s">
        <v>110</v>
      </c>
      <c r="N21" s="2" t="s">
        <v>111</v>
      </c>
    </row>
    <row r="22" spans="1:14" x14ac:dyDescent="0.25">
      <c r="B22" s="3" t="s">
        <v>266</v>
      </c>
      <c r="C22" s="3">
        <f ca="1">COUNTIFS(INDIRECT("'Filter Summary'!C2:C216"), "&gt;18", INDIRECT("'Filter Summary'!C2:C216"), "&lt;=20")</f>
        <v>12</v>
      </c>
      <c r="M22" s="4" t="s">
        <v>284</v>
      </c>
      <c r="N22" s="3">
        <f ca="1">COUNTIFS(INDIRECT("'Filter Summary'!J2:J216"), "&gt;=1", INDIRECT("'Filter Summary'!J2:J216"), "&lt;=2")</f>
        <v>53</v>
      </c>
    </row>
    <row r="23" spans="1:14" x14ac:dyDescent="0.25">
      <c r="B23" s="3" t="s">
        <v>275</v>
      </c>
      <c r="C23" s="3">
        <f ca="1">COUNTIFS(INDIRECT("'Filter Summary'!C2:C216"), "&gt;20", INDIRECT("'Filter Summary'!C2:C216"), "&lt;=22")</f>
        <v>25</v>
      </c>
      <c r="M23" s="4" t="s">
        <v>285</v>
      </c>
      <c r="N23" s="3">
        <f ca="1">COUNTIFS(INDIRECT("'Filter Summary'!J2:J216"), "&gt;=3", INDIRECT("'Filter Summary'!J2:J216"), "&lt;=4")</f>
        <v>36</v>
      </c>
    </row>
    <row r="24" spans="1:14" x14ac:dyDescent="0.25">
      <c r="B24" s="3" t="s">
        <v>267</v>
      </c>
      <c r="C24" s="3">
        <f ca="1">COUNTIFS(INDIRECT("'Filter Summary'!C2:C216"), "&gt;22", INDIRECT("'Filter Summary'!C2:C216"), "&lt;=24")</f>
        <v>36</v>
      </c>
      <c r="M24" s="4" t="s">
        <v>286</v>
      </c>
      <c r="N24" s="3">
        <f ca="1">COUNTIFS(INDIRECT("'Filter Summary'!J2:J216"), "&gt;=4", INDIRECT("'Filter Summary'!J2:J216"), "&lt;=5")</f>
        <v>22</v>
      </c>
    </row>
    <row r="25" spans="1:14" x14ac:dyDescent="0.25">
      <c r="B25" s="3" t="s">
        <v>268</v>
      </c>
      <c r="C25" s="3">
        <f ca="1">COUNTIFS(INDIRECT("'Filter Summary'!C2:C216"), "&gt;24", INDIRECT("'Filter Summary'!C2:C216"), "&lt;=26")</f>
        <v>41</v>
      </c>
      <c r="M25" s="4" t="s">
        <v>287</v>
      </c>
      <c r="N25" s="3">
        <f ca="1">COUNTIFS(INDIRECT("'Filter Summary'!J2:J216"), "&gt;=6", INDIRECT("'Filter Summary'!J2:J216"), "&lt;=7")</f>
        <v>16</v>
      </c>
    </row>
    <row r="26" spans="1:14" x14ac:dyDescent="0.25">
      <c r="B26" s="3" t="s">
        <v>269</v>
      </c>
      <c r="C26" s="3">
        <f ca="1">COUNTIFS(INDIRECT("'Filter Summary'!C2:C216"), "&gt;26", INDIRECT("'Filter Summary'!C2:C216"), "&lt;=28")</f>
        <v>30</v>
      </c>
      <c r="M26" s="4" t="s">
        <v>288</v>
      </c>
      <c r="N26" s="3">
        <f ca="1">COUNTIFS(INDIRECT("'Filter Summary'!J2:J216"), "&gt;=8", INDIRECT("'Filter Summary'!J2:J216"), "&lt;=9")</f>
        <v>5</v>
      </c>
    </row>
    <row r="27" spans="1:14" x14ac:dyDescent="0.25">
      <c r="B27" s="3" t="s">
        <v>270</v>
      </c>
      <c r="C27" s="3">
        <f ca="1">COUNTIFS(INDIRECT("'Filter Summary'!C2:C216"), "&gt;28", INDIRECT("'Filter Summary'!C2:C216"), "&lt;=30")</f>
        <v>19</v>
      </c>
      <c r="D27" s="3"/>
      <c r="M27" s="4" t="s">
        <v>289</v>
      </c>
      <c r="N27" s="3">
        <f ca="1">COUNTIFS(INDIRECT("'Filter Summary'!J2:J216"), "&gt;=10", INDIRECT("'Filter Summary'!J2:J216"), "&lt;=11")</f>
        <v>2</v>
      </c>
    </row>
    <row r="28" spans="1:14" x14ac:dyDescent="0.25">
      <c r="B28" s="3" t="s">
        <v>271</v>
      </c>
      <c r="C28" s="3">
        <f ca="1">COUNTIFS(INDIRECT("'Filter Summary'!C2:C216"), "&gt;30", INDIRECT("'Filter Summary'!C2:C216"), "&lt;=32")</f>
        <v>20</v>
      </c>
      <c r="M28" s="4"/>
      <c r="N28" s="3"/>
    </row>
    <row r="29" spans="1:14" x14ac:dyDescent="0.25">
      <c r="B29" s="3" t="s">
        <v>272</v>
      </c>
      <c r="C29" s="3">
        <f ca="1">COUNTIFS(INDIRECT("'Filter Summary'!C2:C216"), "&gt;32", INDIRECT("'Filter Summary'!C2:C216"), "&lt;=34")</f>
        <v>13</v>
      </c>
      <c r="M29" s="4"/>
      <c r="N29" s="4"/>
    </row>
    <row r="30" spans="1:14" x14ac:dyDescent="0.25">
      <c r="B30" s="3" t="s">
        <v>273</v>
      </c>
      <c r="C30" s="3">
        <f ca="1">COUNTIFS(INDIRECT("'Filter Summary'!C2:C216"), "&gt;34", INDIRECT("'Filter Summary'!C2:C216"), "&lt;=36")</f>
        <v>14</v>
      </c>
      <c r="M30" s="4"/>
      <c r="N30" s="4"/>
    </row>
    <row r="31" spans="1:14" x14ac:dyDescent="0.25">
      <c r="B31" s="3" t="s">
        <v>274</v>
      </c>
      <c r="C31" s="3">
        <f ca="1">COUNTIFS(INDIRECT("'Filter Summary'!C2:C216"), "&gt;36", INDIRECT("'Filter Summary'!C2:C216"), "&lt;=39")</f>
        <v>4</v>
      </c>
      <c r="M31" s="4"/>
      <c r="N31" s="4"/>
    </row>
    <row r="32" spans="1:14" x14ac:dyDescent="0.25">
      <c r="A32" t="s">
        <v>311</v>
      </c>
      <c r="N32" t="s">
        <v>318</v>
      </c>
    </row>
    <row r="34" spans="1:14" x14ac:dyDescent="0.25">
      <c r="A34" t="s">
        <v>312</v>
      </c>
      <c r="N34" t="s">
        <v>313</v>
      </c>
    </row>
    <row r="37" spans="1:14" x14ac:dyDescent="0.25">
      <c r="B37" s="8" t="s">
        <v>282</v>
      </c>
      <c r="C37" s="8"/>
      <c r="M37" s="8" t="s">
        <v>290</v>
      </c>
      <c r="N37" s="8"/>
    </row>
    <row r="38" spans="1:14" x14ac:dyDescent="0.25">
      <c r="B38" s="2" t="s">
        <v>110</v>
      </c>
      <c r="C38" s="2" t="s">
        <v>111</v>
      </c>
      <c r="M38" s="2" t="s">
        <v>110</v>
      </c>
      <c r="N38" s="2" t="s">
        <v>111</v>
      </c>
    </row>
    <row r="39" spans="1:14" x14ac:dyDescent="0.25">
      <c r="B39" s="4" t="s">
        <v>276</v>
      </c>
      <c r="C39" s="3">
        <f ca="1">COUNTIFS(INDIRECT("'Filter Summary'!E2:E216"), "&gt;=0", INDIRECT("'Filter Summary'!E2:E216"), "&lt;=5")</f>
        <v>93</v>
      </c>
      <c r="M39" s="4" t="s">
        <v>276</v>
      </c>
      <c r="N39" s="3">
        <f ca="1">COUNTIFS(INDIRECT("'Filter Summary'!O2:O216"), "&gt;=0", INDIRECT("'Filter Summary'!O2:O216"), "&lt;=5")</f>
        <v>98</v>
      </c>
    </row>
    <row r="40" spans="1:14" x14ac:dyDescent="0.25">
      <c r="B40" s="4" t="s">
        <v>278</v>
      </c>
      <c r="C40" s="3">
        <f ca="1">COUNTIFS(INDIRECT("'Filter Summary'!E2:E216"), "&gt;=6", INDIRECT("'Filter Summary'!E2:E216"), "&lt;=10")</f>
        <v>66</v>
      </c>
      <c r="M40" s="4" t="s">
        <v>278</v>
      </c>
      <c r="N40" s="3">
        <f ca="1">COUNTIFS(INDIRECT("'Filter Summary'!O2:O216"), "&gt;=6", INDIRECT("'Filter Summary'!O2:O216"), "&lt;=10")</f>
        <v>35</v>
      </c>
    </row>
    <row r="41" spans="1:14" x14ac:dyDescent="0.25">
      <c r="B41" s="4" t="s">
        <v>277</v>
      </c>
      <c r="C41" s="3">
        <f ca="1">COUNTIFS(INDIRECT("'Filter Summary'!E2:E216"), "&gt;=11", INDIRECT("'Filter Summary'!E2:E216"), "&lt;=15")</f>
        <v>27</v>
      </c>
      <c r="M41" s="4" t="s">
        <v>277</v>
      </c>
      <c r="N41" s="3">
        <f ca="1">COUNTIFS(INDIRECT("'Filter Summary'!O2:O216"), "&gt;=11", INDIRECT("'Filter Summary'!O2:O216"), "&lt;=15")</f>
        <v>24</v>
      </c>
    </row>
    <row r="42" spans="1:14" x14ac:dyDescent="0.25">
      <c r="B42" s="4" t="s">
        <v>279</v>
      </c>
      <c r="C42" s="3">
        <f ca="1">COUNTIFS(INDIRECT("'Filter Summary'!E2:E216"), "&gt;=16", INDIRECT("'Filter Summary'!E2:E216"), "&lt;=20")</f>
        <v>20</v>
      </c>
      <c r="M42" s="4" t="s">
        <v>279</v>
      </c>
      <c r="N42" s="3">
        <f ca="1">COUNTIFS(INDIRECT("'Filter Summary'!O2:O216"), "&gt;=16", INDIRECT("'Filter Summary'!O2:O216"), "&lt;=20")</f>
        <v>17</v>
      </c>
    </row>
    <row r="43" spans="1:14" x14ac:dyDescent="0.25">
      <c r="B43" s="4"/>
      <c r="C43" s="4"/>
      <c r="M43" s="4" t="s">
        <v>280</v>
      </c>
      <c r="N43" s="3">
        <f ca="1">COUNTIFS(INDIRECT("'Filter Summary'!O2:O216"), "&gt;=21", INDIRECT("'Filter Summary'!O2:O216"), "&lt;=25")</f>
        <v>7</v>
      </c>
    </row>
    <row r="44" spans="1:14" x14ac:dyDescent="0.25">
      <c r="B44" s="4"/>
      <c r="C44" s="4"/>
      <c r="M44" s="4" t="s">
        <v>281</v>
      </c>
      <c r="N44" s="3">
        <f ca="1">COUNTIFS(INDIRECT("'Filter Summary'!O2:O216"), "&gt;=26", INDIRECT("'Filter Summary'!O2:O216"), "&lt;=30")</f>
        <v>10</v>
      </c>
    </row>
    <row r="45" spans="1:14" x14ac:dyDescent="0.25">
      <c r="B45" s="4"/>
      <c r="C45" s="4"/>
      <c r="M45" s="4" t="s">
        <v>291</v>
      </c>
      <c r="N45" s="3">
        <f ca="1">COUNTIFS(INDIRECT("'Filter Summary'!O2:O216"), "&gt;=31", INDIRECT("'Filter Summary'!O2:O216"), "&lt;=35")</f>
        <v>3</v>
      </c>
    </row>
    <row r="46" spans="1:14" x14ac:dyDescent="0.25">
      <c r="B46" s="4"/>
      <c r="C46" s="4"/>
    </row>
    <row r="47" spans="1:14" x14ac:dyDescent="0.25">
      <c r="B47" s="3"/>
      <c r="C47" s="3"/>
    </row>
    <row r="48" spans="1:14" x14ac:dyDescent="0.25">
      <c r="B48" s="3"/>
      <c r="C48" s="3"/>
    </row>
    <row r="49" spans="1:14" x14ac:dyDescent="0.25">
      <c r="N49" t="s">
        <v>314</v>
      </c>
    </row>
    <row r="51" spans="1:14" x14ac:dyDescent="0.25">
      <c r="N51" t="s">
        <v>315</v>
      </c>
    </row>
    <row r="52" spans="1:14" x14ac:dyDescent="0.25">
      <c r="A52" t="s">
        <v>316</v>
      </c>
    </row>
    <row r="54" spans="1:14" x14ac:dyDescent="0.25">
      <c r="B54" s="8" t="s">
        <v>292</v>
      </c>
      <c r="C54" s="8"/>
      <c r="M54" s="8" t="s">
        <v>298</v>
      </c>
      <c r="N54" s="8"/>
    </row>
    <row r="55" spans="1:14" x14ac:dyDescent="0.25">
      <c r="B55" s="2" t="s">
        <v>110</v>
      </c>
      <c r="C55" s="2" t="s">
        <v>111</v>
      </c>
      <c r="M55" s="2" t="s">
        <v>110</v>
      </c>
      <c r="N55" s="2" t="s">
        <v>111</v>
      </c>
    </row>
    <row r="56" spans="1:14" x14ac:dyDescent="0.25">
      <c r="B56" s="4" t="s">
        <v>293</v>
      </c>
      <c r="C56" s="3">
        <f ca="1">COUNTIFS(INDIRECT("'Filter Summary'!R2:R216"), "&gt;=0", INDIRECT("'Filter Summary'!R2:R216"), "&lt;=0.2")</f>
        <v>25</v>
      </c>
      <c r="M56" s="4" t="s">
        <v>299</v>
      </c>
      <c r="N56" s="3">
        <f ca="1">COUNTIFS(INDIRECT("'Filter Summary'!K2:K216"), "&gt;=0", INDIRECT("'Filter Summary'!K2:K216"), "&lt;=2")</f>
        <v>149</v>
      </c>
    </row>
    <row r="57" spans="1:14" x14ac:dyDescent="0.25">
      <c r="B57" s="4" t="s">
        <v>294</v>
      </c>
      <c r="C57" s="3">
        <f ca="1">COUNTIFS(INDIRECT("'Filter Summary'!R2:R216"), "&gt;=0.3", INDIRECT("'Filter Summary'!R2:R216"), "&lt;=0.4")</f>
        <v>40</v>
      </c>
      <c r="M57" s="4" t="s">
        <v>300</v>
      </c>
      <c r="N57" s="3">
        <f ca="1">COUNTIFS(INDIRECT("'Filter Summary'!K2:K216"), "&gt;2", INDIRECT("'Filter Summary'!K2:K216"), "&lt;=4")</f>
        <v>32</v>
      </c>
    </row>
    <row r="58" spans="1:14" x14ac:dyDescent="0.25">
      <c r="B58" s="4" t="s">
        <v>295</v>
      </c>
      <c r="C58" s="3">
        <f ca="1">COUNTIFS(INDIRECT("'Filter Summary'!R2:R216"), "&gt;=0.5", INDIRECT("'Filter Summary'!R2:R216"), "&lt;=0.6")</f>
        <v>35</v>
      </c>
      <c r="M58" s="4" t="s">
        <v>301</v>
      </c>
      <c r="N58" s="3">
        <f ca="1">COUNTIFS(INDIRECT("'Filter Summary'!K2:K216"), "&gt;4", INDIRECT("'Filter Summary'!K2:K216"), "&lt;=6")</f>
        <v>23</v>
      </c>
    </row>
    <row r="59" spans="1:14" x14ac:dyDescent="0.25">
      <c r="B59" s="4" t="s">
        <v>296</v>
      </c>
      <c r="C59" s="3">
        <f ca="1">COUNTIFS(INDIRECT("'Filter Summary'!R2:R216"), "&gt;=0.7", INDIRECT("'Filter Summary'!R2:R216"), "&lt;=0.8")</f>
        <v>1</v>
      </c>
      <c r="M59" s="4" t="s">
        <v>302</v>
      </c>
      <c r="N59" s="3">
        <f ca="1">COUNTIFS(INDIRECT("'Filter Summary'!K2:K216"), "&gt;6", INDIRECT("'Filter Summary'!K2:K216"), "&lt;=8")</f>
        <v>6</v>
      </c>
    </row>
    <row r="60" spans="1:14" x14ac:dyDescent="0.25">
      <c r="B60" s="4" t="s">
        <v>297</v>
      </c>
      <c r="C60" s="3">
        <f ca="1">COUNTIFS(INDIRECT("'Filter Summary'!R2:R216"), "&gt;=0.9", INDIRECT("'Filter Summary'!R2:R216"), "&lt;=1")</f>
        <v>3</v>
      </c>
      <c r="M60" s="4" t="s">
        <v>303</v>
      </c>
      <c r="N60" s="3">
        <f ca="1">COUNTIFS(INDIRECT("'Filter Summary'!K2:K216"), "&gt;8", INDIRECT("'Filter Summary'!K2:K216"), "&lt;=10")</f>
        <v>4</v>
      </c>
    </row>
    <row r="61" spans="1:14" x14ac:dyDescent="0.25">
      <c r="B61" s="4"/>
      <c r="C61" s="3"/>
    </row>
    <row r="62" spans="1:14" x14ac:dyDescent="0.25">
      <c r="B62" s="4"/>
      <c r="C62" s="3"/>
    </row>
  </sheetData>
  <mergeCells count="18">
    <mergeCell ref="A7:V7"/>
    <mergeCell ref="A8:V8"/>
    <mergeCell ref="A10:V10"/>
    <mergeCell ref="A11:V11"/>
    <mergeCell ref="A1:V1"/>
    <mergeCell ref="A2:V2"/>
    <mergeCell ref="A3:V3"/>
    <mergeCell ref="A4:V4"/>
    <mergeCell ref="A6:V6"/>
    <mergeCell ref="A12:V12"/>
    <mergeCell ref="A13:V13"/>
    <mergeCell ref="A14:V14"/>
    <mergeCell ref="M54:N54"/>
    <mergeCell ref="B20:C20"/>
    <mergeCell ref="B37:C37"/>
    <mergeCell ref="M20:N20"/>
    <mergeCell ref="M37:N37"/>
    <mergeCell ref="B54:C54"/>
  </mergeCells>
  <pageMargins left="0.7" right="0.7" top="0.75" bottom="0.75" header="0.3" footer="0.3"/>
  <pageSetup orientation="portrait" r:id="rId1"/>
  <drawing r:id="rId2"/>
</worksheet>
</file>

<file path=customUI/customUI14.xml><?xml version="1.0" encoding="utf-8"?>
<customUI xmlns="http://schemas.microsoft.com/office/2009/07/customui">
  <ribbon startFromScratch="false">
    <tabs>
      <tab id="customTab" label="Statistics">
        <group id="customGroup" label="Options">
          <button id="btnDisplay" label="Filter" imageMso="SortFilterMenu" onAction="displayUserForm" size="large"/>
          <button id="btnCleary" label="Clear Results" imageMso="Delete" onAction="ClearResults" size="large"/>
          <button id="btnGenerateDoc" label="Generate Report" imageMso="ExportWord" onAction="writeInWord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Introduction</vt:lpstr>
      <vt:lpstr>Instructions</vt:lpstr>
      <vt:lpstr>Filter Summary</vt:lpstr>
      <vt:lpstr>Histogram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Sushant Sah</dc:creator>
  <cp:lastModifiedBy>Sushant Sah</cp:lastModifiedBy>
  <dcterms:created xsi:type="dcterms:W3CDTF">2025-03-31T19:42:13Z</dcterms:created>
  <dcterms:modified xsi:type="dcterms:W3CDTF">2025-04-05T03:06:27Z</dcterms:modified>
</cp:coreProperties>
</file>